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codeName="ThisWorkbook"/>
  <xr:revisionPtr revIDLastSave="0" documentId="8_{059C4958-6E71-4A33-BC19-DFE3EE111067}" xr6:coauthVersionLast="47" xr6:coauthVersionMax="47" xr10:uidLastSave="{00000000-0000-0000-0000-000000000000}"/>
  <bookViews>
    <workbookView xWindow="-120" yWindow="-120" windowWidth="29040" windowHeight="15720" xr2:uid="{00000000-000D-0000-FFFF-FFFF00000000}"/>
  </bookViews>
  <sheets>
    <sheet name="Project plan" sheetId="11" r:id="rId1"/>
  </sheets>
  <definedNames>
    <definedName name="Anzeigewoche">'Project plan'!$F$3</definedName>
    <definedName name="_xlnm.Print_Titles" localSheetId="0">'Project plan'!$3:$5</definedName>
    <definedName name="Heute" localSheetId="0">TODAY()</definedName>
    <definedName name="Projektanfang">'Project plan'!$F$2</definedName>
    <definedName name="task_end" localSheetId="0">'Project plan'!$G1</definedName>
    <definedName name="task_progress" localSheetId="0">'Project plan'!$E1</definedName>
    <definedName name="task_start" localSheetId="0">'Project plan'!$F1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7" i="11" l="1"/>
  <c r="I11" i="11" l="1"/>
  <c r="I12" i="11"/>
  <c r="I13" i="11"/>
  <c r="I14" i="11"/>
  <c r="I15" i="11"/>
  <c r="I17" i="11"/>
  <c r="I18" i="11"/>
  <c r="I19" i="11"/>
  <c r="I20" i="11"/>
  <c r="I21" i="11"/>
  <c r="I22" i="11"/>
  <c r="I24" i="11"/>
  <c r="I25" i="11"/>
  <c r="I26" i="11"/>
  <c r="I27" i="11"/>
  <c r="I28" i="11"/>
  <c r="I29" i="11"/>
  <c r="I30" i="11"/>
  <c r="I31" i="11"/>
  <c r="I32" i="11"/>
  <c r="I33" i="11"/>
  <c r="I34" i="11"/>
  <c r="I35" i="11"/>
  <c r="I38" i="11"/>
  <c r="I39" i="11"/>
  <c r="I40" i="11"/>
  <c r="I41" i="11"/>
  <c r="I42" i="11"/>
  <c r="I44" i="11"/>
  <c r="I45" i="11"/>
  <c r="I46" i="11"/>
  <c r="I47" i="11"/>
  <c r="I48" i="11"/>
  <c r="I49" i="11"/>
  <c r="I8" i="11"/>
  <c r="I9" i="11"/>
  <c r="I10" i="11"/>
  <c r="I6" i="11"/>
  <c r="J4" i="11" l="1"/>
  <c r="I51" i="11"/>
  <c r="I50" i="11"/>
  <c r="I7" i="11"/>
  <c r="J5" i="11" l="1"/>
  <c r="K4" i="11"/>
  <c r="J3" i="11"/>
  <c r="L4" i="11" l="1"/>
  <c r="K5" i="11"/>
  <c r="L5" i="11" l="1"/>
  <c r="M4" i="11"/>
  <c r="M5" i="11" l="1"/>
  <c r="N4" i="11"/>
  <c r="N5" i="11" l="1"/>
  <c r="O4" i="11"/>
  <c r="O5" i="11" l="1"/>
  <c r="P4" i="11"/>
  <c r="P5" i="11" l="1"/>
  <c r="Q4" i="11"/>
  <c r="Q3" i="11" l="1"/>
  <c r="Q5" i="11"/>
  <c r="R4" i="11"/>
  <c r="R5" i="11" l="1"/>
  <c r="S4" i="11"/>
  <c r="S5" i="11" l="1"/>
  <c r="T4" i="11"/>
  <c r="T5" i="11" l="1"/>
  <c r="U4" i="11"/>
  <c r="U5" i="11" l="1"/>
  <c r="V4" i="11"/>
  <c r="V5" i="11" l="1"/>
  <c r="W4" i="11"/>
  <c r="W5" i="11" l="1"/>
  <c r="X4" i="11"/>
  <c r="X3" i="11" l="1"/>
  <c r="X5" i="11"/>
  <c r="Y4" i="11"/>
  <c r="Y5" i="11" l="1"/>
  <c r="Z4" i="11"/>
  <c r="Z5" i="11" l="1"/>
  <c r="AA4" i="11"/>
  <c r="AA5" i="11" l="1"/>
  <c r="AB4" i="11"/>
  <c r="AB5" i="11" l="1"/>
  <c r="AC4" i="11"/>
  <c r="AC5" i="11" l="1"/>
  <c r="AD4" i="11"/>
  <c r="AD5" i="11" l="1"/>
  <c r="AE4" i="11"/>
  <c r="AE3" i="11" l="1"/>
  <c r="AE5" i="11"/>
  <c r="AF4" i="11"/>
  <c r="AF5" i="11" l="1"/>
  <c r="AG4" i="11"/>
  <c r="AG5" i="11" l="1"/>
  <c r="AH4" i="11"/>
  <c r="AH5" i="11" l="1"/>
  <c r="AI4" i="11"/>
  <c r="AI5" i="11" l="1"/>
  <c r="AJ4" i="11"/>
  <c r="AJ5" i="11" l="1"/>
  <c r="AK4" i="11"/>
  <c r="AK5" i="11" l="1"/>
  <c r="AL4" i="11"/>
  <c r="AL3" i="11" l="1"/>
  <c r="AL5" i="11"/>
  <c r="AM4" i="11"/>
  <c r="AM5" i="11" l="1"/>
  <c r="AN4" i="11"/>
  <c r="AN5" i="11" l="1"/>
  <c r="AO4" i="11"/>
  <c r="AO5" i="11" l="1"/>
  <c r="AP4" i="11"/>
  <c r="AP5" i="11" l="1"/>
  <c r="AQ4" i="11"/>
  <c r="AQ5" i="11" l="1"/>
  <c r="AR4" i="11"/>
  <c r="AR5" i="11" l="1"/>
  <c r="AS4" i="11"/>
  <c r="AS3" i="11" l="1"/>
  <c r="AS5" i="11"/>
  <c r="AT4" i="11"/>
  <c r="AT5" i="11" l="1"/>
  <c r="AU4" i="11"/>
  <c r="AU5" i="11" l="1"/>
  <c r="AV4" i="11"/>
  <c r="AV5" i="11" l="1"/>
  <c r="AW4" i="11"/>
  <c r="AW5" i="11" l="1"/>
  <c r="AX4" i="11"/>
  <c r="AX5" i="11" l="1"/>
  <c r="AY4" i="11"/>
  <c r="AY5" i="11" l="1"/>
  <c r="AZ4" i="11"/>
  <c r="AZ3" i="11" l="1"/>
  <c r="AZ5" i="11"/>
  <c r="BA4" i="11"/>
  <c r="BA5" i="11" l="1"/>
  <c r="BB4" i="11"/>
  <c r="BB5" i="11" l="1"/>
  <c r="BC4" i="11"/>
  <c r="BC5" i="11" l="1"/>
  <c r="BD4" i="11"/>
  <c r="BD5" i="11" l="1"/>
  <c r="BE4" i="11"/>
  <c r="BE5" i="11" l="1"/>
  <c r="BF4" i="11"/>
  <c r="BF5" i="11" l="1"/>
  <c r="BG4" i="11"/>
  <c r="BG3" i="11" l="1"/>
  <c r="BG5" i="11"/>
  <c r="BH4" i="11"/>
  <c r="BH5" i="11" l="1"/>
  <c r="BI4" i="11"/>
  <c r="BI5" i="11" l="1"/>
  <c r="BJ4" i="11"/>
  <c r="BJ5" i="11" l="1"/>
  <c r="BK4" i="11"/>
  <c r="BK5" i="11" l="1"/>
  <c r="BL4" i="11"/>
  <c r="BL5" i="11" l="1"/>
  <c r="BM4" i="11"/>
  <c r="BM5" i="11" l="1"/>
  <c r="BN4" i="11"/>
  <c r="BN3" i="11" l="1"/>
  <c r="BN5" i="11"/>
  <c r="BO4" i="11"/>
  <c r="BO5" i="11" l="1"/>
  <c r="BP4" i="11"/>
  <c r="BP5" i="11" l="1"/>
  <c r="BQ4" i="11"/>
  <c r="BQ5" i="11" l="1"/>
  <c r="BR4" i="11"/>
  <c r="BR5" i="11" l="1"/>
  <c r="BS4" i="11"/>
  <c r="BS5" i="11" l="1"/>
  <c r="BT4" i="11"/>
  <c r="BT5" i="11" l="1"/>
  <c r="BU4" i="11"/>
  <c r="BU3" i="11" l="1"/>
  <c r="BU5" i="11"/>
  <c r="BV4" i="11"/>
  <c r="BV5" i="11" l="1"/>
  <c r="BW4" i="11"/>
  <c r="BW5" i="11" l="1"/>
  <c r="BX4" i="11"/>
  <c r="BX5" i="11" l="1"/>
  <c r="BY4" i="11"/>
  <c r="BY5" i="11" l="1"/>
  <c r="BZ4" i="11"/>
  <c r="BZ5" i="11" l="1"/>
  <c r="CA4" i="11"/>
  <c r="CA5" i="11" l="1"/>
  <c r="CB4" i="11"/>
  <c r="CB3" i="11" l="1"/>
  <c r="CB5" i="11"/>
  <c r="CC4" i="11"/>
  <c r="CC5" i="11" l="1"/>
  <c r="CD4" i="11"/>
  <c r="CD5" i="11" l="1"/>
  <c r="CE4" i="11"/>
  <c r="CE5" i="11" l="1"/>
  <c r="CF4" i="11"/>
  <c r="CF5" i="11" l="1"/>
  <c r="CG4" i="11"/>
  <c r="CG5" i="11" l="1"/>
  <c r="CH4" i="11"/>
  <c r="CH5" i="11" l="1"/>
  <c r="CI4" i="11"/>
  <c r="CI3" i="11" l="1"/>
  <c r="CI5" i="11"/>
  <c r="CJ4" i="11"/>
  <c r="CJ5" i="11" l="1"/>
  <c r="CK4" i="11"/>
  <c r="CK5" i="11" l="1"/>
  <c r="CL4" i="11"/>
  <c r="CL5" i="11" l="1"/>
  <c r="CM4" i="11"/>
  <c r="CM5" i="11" l="1"/>
  <c r="CN4" i="11"/>
  <c r="CN5" i="11" l="1"/>
  <c r="CO4" i="11"/>
  <c r="CO5" i="11" l="1"/>
  <c r="CP4" i="11"/>
  <c r="CP3" i="11" l="1"/>
  <c r="CP5" i="11"/>
  <c r="CQ4" i="11"/>
  <c r="CQ5" i="11" l="1"/>
  <c r="CR4" i="11"/>
  <c r="CR5" i="11" l="1"/>
  <c r="CS4" i="11"/>
  <c r="CS5" i="11" l="1"/>
  <c r="CT4" i="11"/>
  <c r="CT5" i="11" l="1"/>
  <c r="CU4" i="11"/>
  <c r="CU5" i="11" l="1"/>
  <c r="CV4" i="11"/>
  <c r="CV5" i="11" l="1"/>
  <c r="CW4" i="11"/>
  <c r="CW3" i="11" l="1"/>
  <c r="CW5" i="11"/>
  <c r="CX4" i="11"/>
  <c r="CX5" i="11" l="1"/>
  <c r="CY4" i="11"/>
  <c r="CY5" i="11" l="1"/>
  <c r="CZ4" i="11"/>
  <c r="CZ5" i="11" l="1"/>
  <c r="DA4" i="11"/>
  <c r="DA5" i="11" l="1"/>
  <c r="DB4" i="11"/>
  <c r="DB5" i="11" l="1"/>
  <c r="DC4" i="11"/>
  <c r="DC5" i="11" s="1"/>
</calcChain>
</file>

<file path=xl/sharedStrings.xml><?xml version="1.0" encoding="utf-8"?>
<sst xmlns="http://schemas.openxmlformats.org/spreadsheetml/2006/main" count="116" uniqueCount="62">
  <si>
    <t>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</si>
  <si>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r>
      <rPr>
        <b/>
        <sz val="22"/>
        <color rgb="FF595959"/>
        <rFont val="Calibri"/>
        <family val="2"/>
        <scheme val="major"/>
      </rPr>
      <t>URS</t>
    </r>
    <r>
      <rPr>
        <b/>
        <sz val="12"/>
        <color rgb="FF595959"/>
        <rFont val="Calibri"/>
        <family val="2"/>
        <scheme val="major"/>
      </rPr>
      <t xml:space="preserve"> Upper-Limb Rehabilitation System</t>
    </r>
  </si>
  <si>
    <t>Geben Sie den Namen des Projektleiters in Zelle B3 ein. Geben Sie das Startdatum für das Projekt in Zelle E3 ein. Start des Projekts: Die Bezeichnung steht in Zelle C3.</t>
  </si>
  <si>
    <t>ST22t</t>
  </si>
  <si>
    <t>Project start:</t>
  </si>
  <si>
    <t>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</si>
  <si>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Büchi, Kaiser, Lächler, Langar, Rohner, Stähli</t>
  </si>
  <si>
    <t>Display week:</t>
  </si>
  <si>
    <t>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</si>
  <si>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</si>
  <si>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TASK</t>
  </si>
  <si>
    <t>ASSIGNED TO</t>
  </si>
  <si>
    <t>SUBMIT</t>
  </si>
  <si>
    <t>SHOULD / IS</t>
  </si>
  <si>
    <t>START</t>
  </si>
  <si>
    <t>END</t>
  </si>
  <si>
    <t>TAGE</t>
  </si>
  <si>
    <t xml:space="preserve">Löschen Sie diese Zeile nicht. Diese Zeile ist ausgeblendet, um eine Formel zu schützen, die zum Hervorheben des aktuellen Tags im Projektzeitplan verwendet wird. </t>
  </si>
  <si>
    <t>ON</t>
  </si>
  <si>
    <t>SHOULD</t>
  </si>
  <si>
    <t>IS</t>
  </si>
  <si>
    <t>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</si>
  <si>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Phase 1 Planning / Brainstorming</t>
  </si>
  <si>
    <t>Requirements list</t>
  </si>
  <si>
    <t>Rohner</t>
  </si>
  <si>
    <t>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</si>
  <si>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Functional structure diagramm</t>
  </si>
  <si>
    <t>Büchi, Langar, Kaiser</t>
  </si>
  <si>
    <t>Project plan</t>
  </si>
  <si>
    <t>Lächler, Stähli</t>
  </si>
  <si>
    <t>Research table</t>
  </si>
  <si>
    <t>everyone</t>
  </si>
  <si>
    <t>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</si>
  <si>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Phase 2 Decision-making</t>
  </si>
  <si>
    <t>Morphological box</t>
  </si>
  <si>
    <t>tbd</t>
  </si>
  <si>
    <t>System sketches</t>
  </si>
  <si>
    <t>Benefit-cost analysis</t>
  </si>
  <si>
    <t>-</t>
  </si>
  <si>
    <t>Titelblock für Beispielphase</t>
  </si>
  <si>
    <t>Phase 3 Implementation</t>
  </si>
  <si>
    <t>Detailed sketch of system</t>
  </si>
  <si>
    <t>System free-body-diagram</t>
  </si>
  <si>
    <t>Individual component free-body diagrams</t>
  </si>
  <si>
    <t>CAD model</t>
  </si>
  <si>
    <t>Stähli</t>
  </si>
  <si>
    <t>Programming and Electronics</t>
  </si>
  <si>
    <t>Kaiser, Büchi</t>
  </si>
  <si>
    <t>Ansys modelling</t>
  </si>
  <si>
    <t>Phase 4 Production</t>
  </si>
  <si>
    <t>Production and Assembling</t>
  </si>
  <si>
    <t>Büchi</t>
  </si>
  <si>
    <t>Test plan</t>
  </si>
  <si>
    <t>Test and optimise</t>
  </si>
  <si>
    <t>Phase 5 Evaluation</t>
  </si>
  <si>
    <t>Short Ansys Report</t>
  </si>
  <si>
    <t>Documentation</t>
  </si>
  <si>
    <t>Lächler, Rohner</t>
  </si>
  <si>
    <t>Live demonstration and testing of the system</t>
  </si>
  <si>
    <t>Dies ist eine leere Zeile.</t>
  </si>
  <si>
    <t>Diese Zeile kennzeichnet das Ende des Projektplans. Geben Sie in dieser Zeile NICHTS EIN. 
Fügen Sie ÜBER dieser Zeile neue Zeilen ein, um mit der Erstellung Ihres Projektplans fortzufahren.</t>
  </si>
  <si>
    <t>Insert new lines ABOVE this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</si>
</sst>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dd\,\ d/m/yyyy"/>
    <numFmt numFmtId="170" formatCode="d"/>
    <numFmt numFmtId="171" formatCode="[$-809]d/\ mmm\ yyyy;@"/>
    <numFmt numFmtId="172" formatCode="[$-809]d;@"/>
    <numFmt numFmtId="173" formatCode="[$-809]ddd\,\ d/m/yyyy;@"/>
    <numFmt numFmtId="174" formatCode="dd/mm/yy;@"/>
  </numFmts>
  <fonts count="3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1"/>
      <name val="Calibri"/>
      <family val="2"/>
      <scheme val="minor"/>
    </font>
    <font>
      <b/>
      <sz val="9"/>
      <color theme="1"/>
      <name val="Calibri"/>
      <family val="2"/>
      <scheme val="minor"/>
    </font>
    <font>
      <sz val="11"/>
      <name val="Calibri"/>
      <family val="2"/>
    </font>
    <font>
      <b/>
      <sz val="11"/>
      <name val="Calibri"/>
      <family val="2"/>
    </font>
    <font>
      <sz val="14"/>
      <name val="Calibri"/>
      <family val="2"/>
      <scheme val="minor"/>
    </font>
    <font>
      <b/>
      <sz val="22"/>
      <color rgb="FF595959"/>
      <name val="Calibri"/>
      <family val="2"/>
      <scheme val="major"/>
    </font>
    <font>
      <b/>
      <sz val="12"/>
      <color rgb="FF595959"/>
      <name val="Calibri"/>
      <family val="2"/>
      <scheme val="major"/>
    </font>
  </fonts>
  <fills count="47">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8CBAD"/>
        <bgColor indexed="64"/>
      </patternFill>
    </fill>
    <fill>
      <patternFill patternType="solid">
        <fgColor rgb="FFBDD7EE"/>
        <bgColor indexed="64"/>
      </patternFill>
    </fill>
    <fill>
      <patternFill patternType="solid">
        <fgColor rgb="FFA97FC9"/>
        <bgColor indexed="64"/>
      </patternFill>
    </fill>
    <fill>
      <patternFill patternType="solid">
        <fgColor rgb="FFF5B68B"/>
        <bgColor indexed="64"/>
      </patternFill>
    </fill>
    <fill>
      <patternFill patternType="solid">
        <fgColor rgb="FF95BEE3"/>
        <bgColor indexed="64"/>
      </patternFill>
    </fill>
    <fill>
      <patternFill patternType="solid">
        <fgColor rgb="FFD4BEE4"/>
        <bgColor indexed="64"/>
      </patternFill>
    </fill>
    <fill>
      <patternFill patternType="solid">
        <fgColor rgb="FFFFE9A3"/>
        <bgColor indexed="64"/>
      </patternFill>
    </fill>
    <fill>
      <patternFill patternType="solid">
        <fgColor rgb="FFFFDE75"/>
        <bgColor indexed="64"/>
      </patternFill>
    </fill>
    <fill>
      <patternFill patternType="solid">
        <fgColor rgb="FFD0DFAF"/>
        <bgColor indexed="64"/>
      </patternFill>
    </fill>
  </fills>
  <borders count="2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0" tint="-0.14996795556505021"/>
      </bottom>
      <diagonal/>
    </border>
    <border>
      <left/>
      <right/>
      <top/>
      <bottom style="medium">
        <color theme="0" tint="-0.14999847407452621"/>
      </bottom>
      <diagonal/>
    </border>
    <border>
      <left/>
      <right/>
      <top style="medium">
        <color theme="0" tint="-0.14996795556505021"/>
      </top>
      <bottom/>
      <diagonal/>
    </border>
    <border>
      <left/>
      <right/>
      <top style="medium">
        <color theme="0" tint="-0.14999847407452621"/>
      </top>
      <bottom/>
      <diagonal/>
    </border>
    <border>
      <left style="medium">
        <color theme="0" tint="-4.9989318521683403E-2"/>
      </left>
      <right/>
      <top style="medium">
        <color theme="0" tint="-0.14996795556505021"/>
      </top>
      <bottom/>
      <diagonal/>
    </border>
    <border>
      <left style="medium">
        <color theme="0" tint="-4.9989318521683403E-2"/>
      </left>
      <right/>
      <top/>
      <bottom style="medium">
        <color theme="0" tint="-0.14999847407452621"/>
      </bottom>
      <diagonal/>
    </border>
    <border>
      <left style="medium">
        <color theme="0" tint="-4.9989318521683403E-2"/>
      </left>
      <right/>
      <top style="medium">
        <color theme="0" tint="-0.14999847407452621"/>
      </top>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6" fillId="0" borderId="0"/>
    <xf numFmtId="167"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9"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6"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19" fillId="0" borderId="0" applyNumberFormat="0" applyFill="0" applyBorder="0" applyAlignment="0" applyProtection="0"/>
    <xf numFmtId="0" fontId="20" fillId="7" borderId="0" applyNumberFormat="0" applyBorder="0" applyAlignment="0" applyProtection="0"/>
    <xf numFmtId="0" fontId="21" fillId="8" borderId="0" applyNumberFormat="0" applyBorder="0" applyAlignment="0" applyProtection="0"/>
    <xf numFmtId="0" fontId="22" fillId="9" borderId="0" applyNumberFormat="0" applyBorder="0" applyAlignment="0" applyProtection="0"/>
    <xf numFmtId="0" fontId="23" fillId="10" borderId="11" applyNumberFormat="0" applyAlignment="0" applyProtection="0"/>
    <xf numFmtId="0" fontId="24" fillId="11" borderId="12" applyNumberFormat="0" applyAlignment="0" applyProtection="0"/>
    <xf numFmtId="0" fontId="25" fillId="11" borderId="11" applyNumberFormat="0" applyAlignment="0" applyProtection="0"/>
    <xf numFmtId="0" fontId="26" fillId="0" borderId="13" applyNumberFormat="0" applyFill="0" applyAlignment="0" applyProtection="0"/>
    <xf numFmtId="0" fontId="27" fillId="12" borderId="14" applyNumberFormat="0" applyAlignment="0" applyProtection="0"/>
    <xf numFmtId="0" fontId="28" fillId="0" borderId="0" applyNumberFormat="0" applyFill="0" applyBorder="0" applyAlignment="0" applyProtection="0"/>
    <xf numFmtId="0" fontId="9" fillId="13"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6"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16"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16"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16"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16"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16"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9" fillId="37" borderId="0" applyNumberFormat="0" applyBorder="0" applyAlignment="0" applyProtection="0"/>
  </cellStyleXfs>
  <cellXfs count="130">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6" borderId="1" xfId="0" applyFont="1" applyFill="1" applyBorder="1" applyAlignment="1">
      <alignment horizontal="left" vertical="center" indent="1"/>
    </xf>
    <xf numFmtId="0" fontId="7" fillId="6" borderId="1" xfId="0" applyFont="1" applyFill="1" applyBorder="1" applyAlignment="1">
      <alignment horizontal="center" vertical="center" wrapTex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6" fillId="0" borderId="0" xfId="3"/>
    <xf numFmtId="0" fontId="16" fillId="0" borderId="0" xfId="3" applyAlignment="1">
      <alignment wrapText="1"/>
    </xf>
    <xf numFmtId="0" fontId="16" fillId="0" borderId="0" xfId="0" applyFont="1" applyAlignment="1">
      <alignment horizontal="center"/>
    </xf>
    <xf numFmtId="0" fontId="0" fillId="0" borderId="0" xfId="0" applyAlignment="1">
      <alignment wrapText="1"/>
    </xf>
    <xf numFmtId="0" fontId="10" fillId="0" borderId="0" xfId="6"/>
    <xf numFmtId="0" fontId="9" fillId="0" borderId="2" xfId="11">
      <alignment horizontal="center" vertical="center"/>
    </xf>
    <xf numFmtId="0" fontId="9" fillId="0" borderId="2" xfId="12">
      <alignment horizontal="left" vertical="center" indent="2"/>
    </xf>
    <xf numFmtId="0" fontId="0" fillId="0" borderId="10" xfId="0" applyBorder="1"/>
    <xf numFmtId="0" fontId="17" fillId="0" borderId="0" xfId="0" applyFont="1"/>
    <xf numFmtId="168" fontId="9" fillId="0" borderId="2" xfId="10">
      <alignment horizontal="center" vertical="center"/>
    </xf>
    <xf numFmtId="168" fontId="4" fillId="2" borderId="2" xfId="0" applyNumberFormat="1" applyFont="1" applyFill="1" applyBorder="1" applyAlignment="1">
      <alignment horizontal="left" vertical="center"/>
    </xf>
    <xf numFmtId="168" fontId="5" fillId="2" borderId="2" xfId="0" applyNumberFormat="1" applyFont="1" applyFill="1" applyBorder="1" applyAlignment="1">
      <alignment horizontal="center" vertical="center"/>
    </xf>
    <xf numFmtId="170" fontId="11" fillId="3" borderId="6" xfId="0" applyNumberFormat="1" applyFont="1" applyFill="1" applyBorder="1" applyAlignment="1">
      <alignment horizontal="center" vertical="center"/>
    </xf>
    <xf numFmtId="170" fontId="11" fillId="3" borderId="0" xfId="0" applyNumberFormat="1" applyFont="1" applyFill="1" applyAlignment="1">
      <alignment horizontal="center" vertical="center"/>
    </xf>
    <xf numFmtId="170" fontId="11" fillId="3" borderId="7" xfId="0" applyNumberFormat="1" applyFont="1" applyFill="1" applyBorder="1" applyAlignment="1">
      <alignment horizontal="center" vertical="center"/>
    </xf>
    <xf numFmtId="0" fontId="6" fillId="41" borderId="2" xfId="0" applyFont="1" applyFill="1" applyBorder="1" applyAlignment="1">
      <alignment horizontal="left" vertical="center" indent="1"/>
    </xf>
    <xf numFmtId="0" fontId="7" fillId="6" borderId="5" xfId="0" applyFont="1" applyFill="1" applyBorder="1" applyAlignment="1">
      <alignment horizontal="center" vertical="center" wrapText="1"/>
    </xf>
    <xf numFmtId="171" fontId="12" fillId="5" borderId="8" xfId="0" applyNumberFormat="1" applyFont="1" applyFill="1" applyBorder="1" applyAlignment="1">
      <alignment horizontal="center" vertical="center" shrinkToFit="1"/>
    </xf>
    <xf numFmtId="172" fontId="11" fillId="3" borderId="6" xfId="0" applyNumberFormat="1" applyFont="1" applyFill="1" applyBorder="1" applyAlignment="1">
      <alignment horizontal="center" vertical="center"/>
    </xf>
    <xf numFmtId="168" fontId="30" fillId="38" borderId="2" xfId="10" applyFont="1" applyFill="1">
      <alignment horizontal="center" vertical="center"/>
    </xf>
    <xf numFmtId="0" fontId="31" fillId="41" borderId="2" xfId="0" applyFont="1" applyFill="1" applyBorder="1" applyAlignment="1">
      <alignment horizontal="left" vertical="center" indent="1"/>
    </xf>
    <xf numFmtId="9" fontId="11" fillId="38" borderId="2" xfId="2" applyFont="1" applyFill="1" applyBorder="1" applyAlignment="1">
      <alignment horizontal="center" vertical="center"/>
    </xf>
    <xf numFmtId="9" fontId="11" fillId="45" borderId="2" xfId="2" applyFont="1" applyFill="1" applyBorder="1" applyAlignment="1">
      <alignment horizontal="center" vertical="center"/>
    </xf>
    <xf numFmtId="168" fontId="30" fillId="45" borderId="2" xfId="0" applyNumberFormat="1" applyFont="1" applyFill="1" applyBorder="1" applyAlignment="1">
      <alignment horizontal="center" vertical="center"/>
    </xf>
    <xf numFmtId="168" fontId="11" fillId="45" borderId="2" xfId="0" applyNumberFormat="1" applyFont="1" applyFill="1" applyBorder="1" applyAlignment="1">
      <alignment horizontal="center" vertical="center"/>
    </xf>
    <xf numFmtId="168" fontId="30" fillId="44" borderId="2" xfId="10" applyFont="1" applyFill="1">
      <alignment horizontal="center" vertical="center"/>
    </xf>
    <xf numFmtId="9" fontId="11" fillId="46" borderId="2" xfId="2" applyFont="1" applyFill="1" applyBorder="1" applyAlignment="1">
      <alignment horizontal="center" vertical="center"/>
    </xf>
    <xf numFmtId="168" fontId="30" fillId="46" borderId="2" xfId="0" applyNumberFormat="1" applyFont="1" applyFill="1" applyBorder="1" applyAlignment="1">
      <alignment horizontal="center" vertical="center"/>
    </xf>
    <xf numFmtId="168" fontId="11" fillId="46" borderId="2" xfId="0" applyNumberFormat="1" applyFont="1" applyFill="1" applyBorder="1" applyAlignment="1">
      <alignment horizontal="center" vertical="center"/>
    </xf>
    <xf numFmtId="9" fontId="11" fillId="4" borderId="2" xfId="2" applyFont="1" applyFill="1" applyBorder="1" applyAlignment="1">
      <alignment horizontal="center" vertical="center"/>
    </xf>
    <xf numFmtId="168" fontId="30" fillId="4" borderId="2" xfId="10" applyFont="1" applyFill="1">
      <alignment horizontal="center" vertical="center"/>
    </xf>
    <xf numFmtId="0" fontId="30" fillId="42" borderId="17" xfId="11" applyFont="1" applyFill="1" applyBorder="1">
      <alignment horizontal="center" vertical="center"/>
    </xf>
    <xf numFmtId="168" fontId="30" fillId="42" borderId="17" xfId="0" applyNumberFormat="1" applyFont="1" applyFill="1" applyBorder="1" applyAlignment="1">
      <alignment horizontal="center" vertical="center"/>
    </xf>
    <xf numFmtId="168" fontId="11" fillId="42" borderId="17" xfId="0" applyNumberFormat="1" applyFont="1" applyFill="1" applyBorder="1" applyAlignment="1">
      <alignment horizontal="center" vertical="center"/>
    </xf>
    <xf numFmtId="9" fontId="11" fillId="39" borderId="2" xfId="2" applyFont="1" applyFill="1" applyBorder="1" applyAlignment="1">
      <alignment horizontal="center" vertical="center"/>
    </xf>
    <xf numFmtId="168" fontId="30" fillId="39" borderId="2" xfId="10" applyFont="1" applyFill="1">
      <alignment horizontal="center" vertical="center"/>
    </xf>
    <xf numFmtId="0" fontId="30" fillId="40" borderId="18" xfId="0" applyFont="1" applyFill="1" applyBorder="1" applyAlignment="1">
      <alignment vertical="center"/>
    </xf>
    <xf numFmtId="9" fontId="11" fillId="43" borderId="2" xfId="2" applyFont="1" applyFill="1" applyBorder="1" applyAlignment="1">
      <alignment horizontal="center" vertical="center"/>
    </xf>
    <xf numFmtId="168" fontId="30" fillId="43" borderId="2" xfId="10" applyFont="1" applyFill="1">
      <alignment horizontal="center" vertical="center"/>
    </xf>
    <xf numFmtId="174" fontId="6" fillId="41" borderId="2" xfId="0" applyNumberFormat="1" applyFont="1" applyFill="1" applyBorder="1" applyAlignment="1">
      <alignment horizontal="left" vertical="center" indent="1"/>
    </xf>
    <xf numFmtId="174" fontId="9" fillId="45" borderId="2" xfId="11" applyNumberFormat="1" applyFill="1">
      <alignment horizontal="center" vertical="center"/>
    </xf>
    <xf numFmtId="174" fontId="9" fillId="46" borderId="2" xfId="11" applyNumberFormat="1" applyFill="1">
      <alignment horizontal="center" vertical="center"/>
    </xf>
    <xf numFmtId="174" fontId="9" fillId="42" borderId="17" xfId="11" applyNumberFormat="1" applyFill="1" applyBorder="1">
      <alignment horizontal="center" vertical="center"/>
    </xf>
    <xf numFmtId="174" fontId="0" fillId="40" borderId="18" xfId="0" applyNumberFormat="1" applyFill="1" applyBorder="1" applyAlignment="1">
      <alignment vertical="center"/>
    </xf>
    <xf numFmtId="9" fontId="11" fillId="4" borderId="17" xfId="2" applyFont="1" applyFill="1" applyBorder="1" applyAlignment="1">
      <alignment horizontal="center" vertical="center"/>
    </xf>
    <xf numFmtId="0" fontId="0" fillId="45" borderId="2" xfId="11" applyFont="1" applyFill="1" applyAlignment="1">
      <alignment horizontal="center" vertical="center" wrapText="1"/>
    </xf>
    <xf numFmtId="0" fontId="0" fillId="46" borderId="2" xfId="11" applyFont="1" applyFill="1" applyAlignment="1">
      <alignment horizontal="center" vertical="center" wrapText="1"/>
    </xf>
    <xf numFmtId="0" fontId="0" fillId="42" borderId="17" xfId="11" applyFont="1" applyFill="1" applyBorder="1" applyAlignment="1">
      <alignment horizontal="center" vertical="center" wrapText="1"/>
    </xf>
    <xf numFmtId="0" fontId="0" fillId="40" borderId="18" xfId="0" applyFill="1" applyBorder="1" applyAlignment="1">
      <alignment vertical="center" wrapText="1"/>
    </xf>
    <xf numFmtId="0" fontId="17" fillId="41" borderId="2" xfId="0" applyFont="1" applyFill="1" applyBorder="1" applyAlignment="1">
      <alignment horizontal="left" vertical="center" wrapText="1" indent="1"/>
    </xf>
    <xf numFmtId="0" fontId="17" fillId="45" borderId="2" xfId="0" applyFont="1" applyFill="1" applyBorder="1" applyAlignment="1">
      <alignment horizontal="left" vertical="center" wrapText="1" indent="1"/>
    </xf>
    <xf numFmtId="0" fontId="17" fillId="46" borderId="2" xfId="0" applyFont="1" applyFill="1" applyBorder="1" applyAlignment="1">
      <alignment horizontal="left" vertical="center" wrapText="1" indent="1"/>
    </xf>
    <xf numFmtId="0" fontId="17" fillId="42" borderId="17" xfId="0" applyFont="1" applyFill="1" applyBorder="1" applyAlignment="1">
      <alignment horizontal="left" vertical="center" wrapText="1" indent="1"/>
    </xf>
    <xf numFmtId="0" fontId="33" fillId="40" borderId="18" xfId="0" applyFont="1" applyFill="1" applyBorder="1" applyAlignment="1">
      <alignment horizontal="left" vertical="center" wrapText="1" indent="1"/>
    </xf>
    <xf numFmtId="9" fontId="11" fillId="44" borderId="2" xfId="2" applyFont="1" applyFill="1" applyBorder="1" applyAlignment="1">
      <alignment horizontal="center" vertical="center"/>
    </xf>
    <xf numFmtId="0" fontId="34" fillId="0" borderId="0" xfId="7" applyFont="1">
      <alignment vertical="top"/>
    </xf>
    <xf numFmtId="0" fontId="35" fillId="0" borderId="0" xfId="5" applyFont="1" applyAlignment="1">
      <alignment horizontal="left"/>
    </xf>
    <xf numFmtId="0" fontId="5" fillId="4" borderId="23" xfId="12" applyFont="1" applyFill="1" applyBorder="1" applyAlignment="1">
      <alignment horizontal="left" vertical="center" wrapText="1" indent="2"/>
    </xf>
    <xf numFmtId="0" fontId="5" fillId="4" borderId="22" xfId="12" applyFont="1" applyFill="1" applyBorder="1" applyAlignment="1">
      <alignment horizontal="left" vertical="center" wrapText="1" indent="2"/>
    </xf>
    <xf numFmtId="0" fontId="0" fillId="4" borderId="20" xfId="11" applyFont="1" applyFill="1" applyBorder="1" applyAlignment="1">
      <alignment horizontal="center" vertical="center" wrapText="1"/>
    </xf>
    <xf numFmtId="0" fontId="0" fillId="4" borderId="0" xfId="11" applyFont="1" applyFill="1" applyBorder="1" applyAlignment="1">
      <alignment horizontal="center" vertical="center" wrapText="1"/>
    </xf>
    <xf numFmtId="174" fontId="9" fillId="4" borderId="19" xfId="11" applyNumberFormat="1" applyFill="1" applyBorder="1">
      <alignment horizontal="center" vertical="center"/>
    </xf>
    <xf numFmtId="174" fontId="9" fillId="4" borderId="17" xfId="11" applyNumberFormat="1" applyFill="1" applyBorder="1">
      <alignment horizontal="center" vertical="center"/>
    </xf>
    <xf numFmtId="0" fontId="5" fillId="43" borderId="20" xfId="12" applyFont="1" applyFill="1" applyBorder="1" applyAlignment="1">
      <alignment horizontal="left" vertical="center" wrapText="1" indent="2"/>
    </xf>
    <xf numFmtId="0" fontId="5" fillId="43" borderId="17" xfId="12" applyFont="1" applyFill="1" applyBorder="1" applyAlignment="1">
      <alignment horizontal="left" vertical="center" wrapText="1" indent="2"/>
    </xf>
    <xf numFmtId="0" fontId="0" fillId="43" borderId="20" xfId="11" applyFont="1" applyFill="1" applyBorder="1" applyAlignment="1">
      <alignment horizontal="center" vertical="center" wrapText="1"/>
    </xf>
    <xf numFmtId="0" fontId="0" fillId="43" borderId="17" xfId="11" applyFont="1" applyFill="1" applyBorder="1" applyAlignment="1">
      <alignment horizontal="center" vertical="center" wrapText="1"/>
    </xf>
    <xf numFmtId="0" fontId="5" fillId="43" borderId="18" xfId="12" applyFont="1" applyFill="1" applyBorder="1" applyAlignment="1">
      <alignment horizontal="left" vertical="center" wrapText="1" indent="2"/>
    </xf>
    <xf numFmtId="0" fontId="0" fillId="43" borderId="18" xfId="11" applyFont="1" applyFill="1" applyBorder="1" applyAlignment="1">
      <alignment horizontal="center" vertical="center" wrapText="1"/>
    </xf>
    <xf numFmtId="0" fontId="32" fillId="39" borderId="19" xfId="0" applyFont="1" applyFill="1" applyBorder="1" applyAlignment="1">
      <alignment horizontal="left" vertical="center" indent="2"/>
    </xf>
    <xf numFmtId="0" fontId="32" fillId="39" borderId="18" xfId="0" applyFont="1" applyFill="1" applyBorder="1" applyAlignment="1">
      <alignment horizontal="left" vertical="center" indent="2"/>
    </xf>
    <xf numFmtId="0" fontId="0" fillId="39" borderId="19" xfId="11" applyFont="1" applyFill="1" applyBorder="1" applyAlignment="1">
      <alignment horizontal="center" vertical="center" wrapText="1"/>
    </xf>
    <xf numFmtId="0" fontId="0" fillId="39" borderId="18" xfId="11" applyFont="1" applyFill="1" applyBorder="1" applyAlignment="1">
      <alignment horizontal="center" vertical="center" wrapText="1"/>
    </xf>
    <xf numFmtId="0" fontId="0" fillId="39" borderId="20" xfId="11" applyFont="1" applyFill="1" applyBorder="1" applyAlignment="1">
      <alignment horizontal="center" vertical="center" wrapText="1"/>
    </xf>
    <xf numFmtId="174" fontId="9" fillId="43" borderId="20" xfId="11" applyNumberFormat="1" applyFill="1" applyBorder="1">
      <alignment horizontal="center" vertical="center"/>
    </xf>
    <xf numFmtId="174" fontId="9" fillId="43" borderId="18" xfId="11" applyNumberFormat="1" applyFill="1" applyBorder="1">
      <alignment horizontal="center" vertical="center"/>
    </xf>
    <xf numFmtId="0" fontId="5" fillId="4" borderId="19" xfId="12" applyFont="1" applyFill="1" applyBorder="1" applyAlignment="1">
      <alignment horizontal="left" vertical="center" wrapText="1" indent="2"/>
    </xf>
    <xf numFmtId="0" fontId="5" fillId="4" borderId="18" xfId="12" applyFont="1" applyFill="1" applyBorder="1" applyAlignment="1">
      <alignment horizontal="left" vertical="center" wrapText="1" indent="2"/>
    </xf>
    <xf numFmtId="0" fontId="0" fillId="4" borderId="19" xfId="11" applyFont="1" applyFill="1" applyBorder="1" applyAlignment="1">
      <alignment horizontal="center" vertical="center" wrapText="1"/>
    </xf>
    <xf numFmtId="0" fontId="0" fillId="4" borderId="17" xfId="11" applyFont="1" applyFill="1" applyBorder="1" applyAlignment="1">
      <alignment horizontal="center" vertical="center" wrapText="1"/>
    </xf>
    <xf numFmtId="0" fontId="5" fillId="4" borderId="21" xfId="12" applyFont="1" applyFill="1" applyBorder="1" applyAlignment="1">
      <alignment horizontal="left" vertical="center" wrapText="1" indent="2"/>
    </xf>
    <xf numFmtId="0" fontId="0" fillId="4" borderId="18" xfId="11" applyFont="1" applyFill="1" applyBorder="1" applyAlignment="1">
      <alignment horizontal="center" vertical="center" wrapText="1"/>
    </xf>
    <xf numFmtId="0" fontId="9" fillId="4" borderId="19" xfId="12" applyFill="1" applyBorder="1" applyAlignment="1">
      <alignment horizontal="left" vertical="center" wrapText="1" indent="2"/>
    </xf>
    <xf numFmtId="0" fontId="9" fillId="4" borderId="17" xfId="12" applyFill="1" applyBorder="1" applyAlignment="1">
      <alignment horizontal="left" vertical="center" wrapText="1" indent="2"/>
    </xf>
    <xf numFmtId="0" fontId="9" fillId="44" borderId="19" xfId="12" applyFill="1" applyBorder="1" applyAlignment="1">
      <alignment horizontal="left" vertical="center" wrapText="1" indent="2"/>
    </xf>
    <xf numFmtId="0" fontId="9" fillId="44" borderId="17" xfId="12" applyFill="1" applyBorder="1" applyAlignment="1">
      <alignment horizontal="left" vertical="center" wrapText="1" indent="2"/>
    </xf>
    <xf numFmtId="0" fontId="0" fillId="44" borderId="19" xfId="11" applyFont="1" applyFill="1" applyBorder="1" applyAlignment="1">
      <alignment horizontal="center" vertical="center" wrapText="1"/>
    </xf>
    <xf numFmtId="0" fontId="0" fillId="44" borderId="17" xfId="11" applyFont="1" applyFill="1" applyBorder="1" applyAlignment="1">
      <alignment horizontal="center" vertical="center" wrapText="1"/>
    </xf>
    <xf numFmtId="0" fontId="0" fillId="38" borderId="19" xfId="12" applyFont="1" applyFill="1" applyBorder="1" applyAlignment="1">
      <alignment horizontal="left" vertical="center" wrapText="1" indent="2"/>
    </xf>
    <xf numFmtId="0" fontId="0" fillId="38" borderId="17" xfId="12" applyFont="1" applyFill="1" applyBorder="1" applyAlignment="1">
      <alignment horizontal="left" vertical="center" wrapText="1" indent="2"/>
    </xf>
    <xf numFmtId="0" fontId="0" fillId="38" borderId="19" xfId="11" applyFont="1" applyFill="1" applyBorder="1" applyAlignment="1">
      <alignment horizontal="center" vertical="center" wrapText="1" shrinkToFit="1"/>
    </xf>
    <xf numFmtId="0" fontId="0" fillId="38" borderId="17" xfId="11" applyFont="1" applyFill="1" applyBorder="1" applyAlignment="1">
      <alignment horizontal="center" vertical="center" wrapText="1" shrinkToFit="1"/>
    </xf>
    <xf numFmtId="0" fontId="9" fillId="0" borderId="0" xfId="8">
      <alignment horizontal="right" indent="1"/>
    </xf>
    <xf numFmtId="0" fontId="9" fillId="0" borderId="7" xfId="8" applyBorder="1">
      <alignment horizontal="right" indent="1"/>
    </xf>
    <xf numFmtId="171" fontId="0" fillId="3" borderId="4" xfId="0" applyNumberFormat="1" applyFill="1" applyBorder="1" applyAlignment="1">
      <alignment horizontal="center" vertical="center" wrapText="1"/>
    </xf>
    <xf numFmtId="171" fontId="0" fillId="3" borderId="1" xfId="0" applyNumberFormat="1" applyFill="1" applyBorder="1" applyAlignment="1">
      <alignment horizontal="center" vertical="center" wrapText="1"/>
    </xf>
    <xf numFmtId="171" fontId="0" fillId="3" borderId="5" xfId="0" applyNumberFormat="1" applyFill="1" applyBorder="1" applyAlignment="1">
      <alignment horizontal="center" vertical="center" wrapText="1"/>
    </xf>
    <xf numFmtId="174" fontId="0" fillId="38" borderId="19" xfId="11" applyNumberFormat="1" applyFont="1" applyFill="1" applyBorder="1">
      <alignment horizontal="center" vertical="center"/>
    </xf>
    <xf numFmtId="174" fontId="0" fillId="38" borderId="17" xfId="11" applyNumberFormat="1" applyFont="1" applyFill="1" applyBorder="1">
      <alignment horizontal="center" vertical="center"/>
    </xf>
    <xf numFmtId="0" fontId="0" fillId="38" borderId="19" xfId="11" applyFont="1" applyFill="1" applyBorder="1" applyAlignment="1">
      <alignment horizontal="center" vertical="center" wrapText="1"/>
    </xf>
    <xf numFmtId="0" fontId="0" fillId="38" borderId="17" xfId="11" applyFont="1" applyFill="1" applyBorder="1" applyAlignment="1">
      <alignment horizontal="center" vertical="center" wrapText="1"/>
    </xf>
    <xf numFmtId="0" fontId="5" fillId="38" borderId="19" xfId="12" applyFont="1" applyFill="1" applyBorder="1" applyAlignment="1">
      <alignment horizontal="left" vertical="center" wrapText="1" indent="2"/>
    </xf>
    <xf numFmtId="0" fontId="5" fillId="38" borderId="17" xfId="12" applyFont="1" applyFill="1" applyBorder="1" applyAlignment="1">
      <alignment horizontal="left" vertical="center" wrapText="1" indent="2"/>
    </xf>
    <xf numFmtId="173" fontId="9" fillId="0" borderId="3" xfId="9" applyNumberFormat="1">
      <alignment horizontal="center" vertical="center"/>
    </xf>
    <xf numFmtId="174" fontId="9" fillId="44" borderId="19" xfId="11" applyNumberFormat="1" applyFill="1" applyBorder="1">
      <alignment horizontal="center" vertical="center"/>
    </xf>
    <xf numFmtId="174" fontId="9" fillId="44" borderId="17" xfId="11" applyNumberFormat="1" applyFill="1" applyBorder="1">
      <alignment horizontal="center" vertical="center"/>
    </xf>
    <xf numFmtId="174" fontId="9" fillId="39" borderId="19" xfId="11" applyNumberFormat="1" applyFill="1" applyBorder="1">
      <alignment horizontal="center" vertical="center"/>
    </xf>
    <xf numFmtId="174" fontId="9" fillId="39" borderId="18" xfId="11" applyNumberFormat="1" applyFill="1" applyBorder="1">
      <alignment horizontal="center" vertical="center"/>
    </xf>
  </cellXfs>
  <cellStyles count="54">
    <cellStyle name="20 % - Akzent1" xfId="31" builtinId="30" customBuiltin="1"/>
    <cellStyle name="20 % - Akzent2" xfId="35" builtinId="34" customBuiltin="1"/>
    <cellStyle name="20 % - Akzent3" xfId="39" builtinId="38" customBuiltin="1"/>
    <cellStyle name="20 % - Akzent4" xfId="43" builtinId="42" customBuiltin="1"/>
    <cellStyle name="20 % - Akzent5" xfId="47" builtinId="46" customBuiltin="1"/>
    <cellStyle name="20 % - Akzent6" xfId="51" builtinId="50" customBuiltin="1"/>
    <cellStyle name="40 % - Akzent1" xfId="32" builtinId="31" customBuiltin="1"/>
    <cellStyle name="40 % - Akzent2" xfId="36" builtinId="35" customBuiltin="1"/>
    <cellStyle name="40 % - Akzent3" xfId="40" builtinId="39" customBuiltin="1"/>
    <cellStyle name="40 % - Akzent4" xfId="44" builtinId="43" customBuiltin="1"/>
    <cellStyle name="40 % - Akzent5" xfId="48" builtinId="47" customBuiltin="1"/>
    <cellStyle name="40 % - Akzent6" xfId="52" builtinId="51" customBuiltin="1"/>
    <cellStyle name="60 % - Akzent1" xfId="33" builtinId="32" customBuiltin="1"/>
    <cellStyle name="60 % - Akzent2" xfId="37" builtinId="36" customBuiltin="1"/>
    <cellStyle name="60 % - Akzent3" xfId="41" builtinId="40" customBuiltin="1"/>
    <cellStyle name="60 % - Akzent4" xfId="45" builtinId="44" customBuiltin="1"/>
    <cellStyle name="60 % - Akzent5" xfId="49" builtinId="48" customBuiltin="1"/>
    <cellStyle name="60 % - Akzent6" xfId="53" builtinId="52" customBuiltin="1"/>
    <cellStyle name="Akzent1" xfId="30" builtinId="29" customBuiltin="1"/>
    <cellStyle name="Akzent2" xfId="34" builtinId="33" customBuiltin="1"/>
    <cellStyle name="Akzent3" xfId="38" builtinId="37" customBuiltin="1"/>
    <cellStyle name="Akzent4" xfId="42" builtinId="41" customBuiltin="1"/>
    <cellStyle name="Akzent5" xfId="46" builtinId="45" customBuiltin="1"/>
    <cellStyle name="Akzent6" xfId="50" builtinId="49" customBuiltin="1"/>
    <cellStyle name="Aufgabe" xfId="12" xr:uid="{6391D789-272B-4DD2-9BF3-2CDCF610FA41}"/>
    <cellStyle name="Ausgabe" xfId="22" builtinId="21" customBuiltin="1"/>
    <cellStyle name="Berechnung" xfId="23" builtinId="22" customBuiltin="1"/>
    <cellStyle name="Besuchter Hyperlink" xfId="13" builtinId="9" customBuiltin="1"/>
    <cellStyle name="Datum" xfId="10" xr:uid="{229918B6-DD13-4F5A-97B9-305F7E002AA3}"/>
    <cellStyle name="Dezimal [0]" xfId="14" builtinId="6" customBuiltin="1"/>
    <cellStyle name="Eingabe" xfId="21" builtinId="20" customBuiltin="1"/>
    <cellStyle name="Ergebnis" xfId="29" builtinId="25" customBuiltin="1"/>
    <cellStyle name="Erklärender Text" xfId="28" builtinId="53" customBuiltin="1"/>
    <cellStyle name="Gut" xfId="18" builtinId="26" customBuiltin="1"/>
    <cellStyle name="Komma" xfId="4" builtinId="3" customBuiltin="1"/>
    <cellStyle name="Link" xfId="1" builtinId="8" customBuiltin="1"/>
    <cellStyle name="Name" xfId="11" xr:uid="{B2D3C1EE-6B41-4801-AAFC-C2274E49E503}"/>
    <cellStyle name="Neutral" xfId="20" builtinId="28" customBuiltin="1"/>
    <cellStyle name="Notiz" xfId="27" builtinId="10" customBuiltin="1"/>
    <cellStyle name="Projektanfang" xfId="9" xr:uid="{8EB8A09A-C31C-40A3-B2C1-9449520178B8}"/>
    <cellStyle name="Prozent" xfId="2" builtinId="5" customBuiltin="1"/>
    <cellStyle name="Schlecht" xfId="19" builtinId="27" customBuiltin="1"/>
    <cellStyle name="Standard" xfId="0" builtinId="0" customBuiltin="1"/>
    <cellStyle name="Überschrift" xfId="5" builtinId="15" customBuiltin="1"/>
    <cellStyle name="Überschrift 1" xfId="6" builtinId="16" customBuiltin="1"/>
    <cellStyle name="Überschrift 2" xfId="7" builtinId="17" customBuiltin="1"/>
    <cellStyle name="Überschrift 3" xfId="8" builtinId="18" customBuiltin="1"/>
    <cellStyle name="Überschrift 4" xfId="17" builtinId="19" customBuiltin="1"/>
    <cellStyle name="Verknüpfte Zelle" xfId="24" builtinId="24" customBuiltin="1"/>
    <cellStyle name="Währung" xfId="15" builtinId="4" customBuiltin="1"/>
    <cellStyle name="Währung [0]" xfId="16" builtinId="7" customBuiltin="1"/>
    <cellStyle name="Warnender Text" xfId="26" builtinId="11" customBuiltin="1"/>
    <cellStyle name="zAusgeblText" xfId="3" xr:uid="{26E66EE6-E33F-4D77-BAE4-0FB4F5BBF673}"/>
    <cellStyle name="Zelle überprüfen" xfId="25" builtinId="23" customBuiltin="1"/>
  </cellStyles>
  <dxfs count="13">
    <dxf>
      <fill>
        <patternFill>
          <bgColor theme="7"/>
        </patternFill>
      </fill>
      <border>
        <left/>
        <right/>
      </border>
    </dxf>
    <dxf>
      <fill>
        <patternFill>
          <bgColor theme="0" tint="-0.34998626667073579"/>
        </patternFill>
      </fill>
      <border>
        <left/>
        <right/>
      </border>
    </dxf>
    <dxf>
      <fill>
        <patternFill>
          <bgColor rgb="FF0070C0"/>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E9A3"/>
      <color rgb="FFD4BEE4"/>
      <color rgb="FFBDD7EE"/>
      <color rgb="FFA3C7E7"/>
      <color rgb="FFD0DFAF"/>
      <color rgb="FFFFDE75"/>
      <color rgb="FF95BEE3"/>
      <color rgb="FFFFD85D"/>
      <color rgb="FFF5B68B"/>
      <color rgb="FFF1975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C54"/>
  <sheetViews>
    <sheetView showGridLines="0" tabSelected="1" showRuler="0" topLeftCell="B1" zoomScale="82" zoomScaleNormal="115" zoomScalePageLayoutView="70" workbookViewId="0">
      <pane ySplit="5" topLeftCell="A7" activePane="bottomLeft" state="frozen"/>
      <selection pane="bottomLeft" activeCell="G21" sqref="G21"/>
    </sheetView>
  </sheetViews>
  <sheetFormatPr baseColWidth="10" defaultColWidth="9.140625" defaultRowHeight="30" customHeight="1" x14ac:dyDescent="0.25"/>
  <cols>
    <col min="1" max="1" width="2.7109375" style="22" customWidth="1"/>
    <col min="2" max="2" width="52.140625" customWidth="1"/>
    <col min="3" max="3" width="16.7109375" customWidth="1"/>
    <col min="4" max="4" width="13.42578125" customWidth="1"/>
    <col min="5" max="5" width="10.7109375" customWidth="1"/>
    <col min="6" max="6" width="10.42578125" style="5" customWidth="1"/>
    <col min="7" max="7" width="10.42578125" customWidth="1"/>
    <col min="8" max="8" width="2.7109375" customWidth="1"/>
    <col min="9" max="9" width="2.7109375" hidden="1" customWidth="1"/>
    <col min="10" max="107" width="2.7109375" customWidth="1"/>
  </cols>
  <sheetData>
    <row r="1" spans="1:107" ht="30" customHeight="1" x14ac:dyDescent="0.45">
      <c r="A1" s="23" t="s">
        <v>0</v>
      </c>
      <c r="B1" s="78" t="s">
        <v>1</v>
      </c>
      <c r="C1" s="1"/>
      <c r="D1" s="1"/>
      <c r="E1" s="2"/>
      <c r="F1" s="4"/>
      <c r="G1" s="21"/>
      <c r="I1" s="2"/>
      <c r="J1" s="30"/>
    </row>
    <row r="2" spans="1:107" ht="30" customHeight="1" x14ac:dyDescent="0.3">
      <c r="A2" s="22" t="s">
        <v>2</v>
      </c>
      <c r="B2" s="26" t="s">
        <v>3</v>
      </c>
      <c r="C2" s="114" t="s">
        <v>4</v>
      </c>
      <c r="D2" s="114"/>
      <c r="E2" s="115"/>
      <c r="F2" s="125">
        <v>45555</v>
      </c>
      <c r="G2" s="125"/>
    </row>
    <row r="3" spans="1:107" ht="30" customHeight="1" x14ac:dyDescent="0.25">
      <c r="A3" s="23" t="s">
        <v>5</v>
      </c>
      <c r="B3" s="77" t="s">
        <v>6</v>
      </c>
      <c r="C3" s="114" t="s">
        <v>7</v>
      </c>
      <c r="D3" s="114"/>
      <c r="E3" s="115"/>
      <c r="F3" s="7">
        <v>1</v>
      </c>
      <c r="J3" s="116">
        <f>J4</f>
        <v>45551</v>
      </c>
      <c r="K3" s="117"/>
      <c r="L3" s="117"/>
      <c r="M3" s="117"/>
      <c r="N3" s="117"/>
      <c r="O3" s="117"/>
      <c r="P3" s="118"/>
      <c r="Q3" s="116">
        <f>Q4</f>
        <v>45558</v>
      </c>
      <c r="R3" s="117"/>
      <c r="S3" s="117"/>
      <c r="T3" s="117"/>
      <c r="U3" s="117"/>
      <c r="V3" s="117"/>
      <c r="W3" s="118"/>
      <c r="X3" s="116">
        <f t="shared" ref="X3" si="0">X4</f>
        <v>45565</v>
      </c>
      <c r="Y3" s="117"/>
      <c r="Z3" s="117"/>
      <c r="AA3" s="117"/>
      <c r="AB3" s="117"/>
      <c r="AC3" s="117"/>
      <c r="AD3" s="118"/>
      <c r="AE3" s="116">
        <f t="shared" ref="AE3" si="1">AE4</f>
        <v>45572</v>
      </c>
      <c r="AF3" s="117"/>
      <c r="AG3" s="117"/>
      <c r="AH3" s="117"/>
      <c r="AI3" s="117"/>
      <c r="AJ3" s="117"/>
      <c r="AK3" s="118"/>
      <c r="AL3" s="116">
        <f t="shared" ref="AL3" si="2">AL4</f>
        <v>45579</v>
      </c>
      <c r="AM3" s="117"/>
      <c r="AN3" s="117"/>
      <c r="AO3" s="117"/>
      <c r="AP3" s="117"/>
      <c r="AQ3" s="117"/>
      <c r="AR3" s="118"/>
      <c r="AS3" s="116">
        <f t="shared" ref="AS3" si="3">AS4</f>
        <v>45586</v>
      </c>
      <c r="AT3" s="117"/>
      <c r="AU3" s="117"/>
      <c r="AV3" s="117"/>
      <c r="AW3" s="117"/>
      <c r="AX3" s="117"/>
      <c r="AY3" s="118"/>
      <c r="AZ3" s="116">
        <f t="shared" ref="AZ3" si="4">AZ4</f>
        <v>45593</v>
      </c>
      <c r="BA3" s="117"/>
      <c r="BB3" s="117"/>
      <c r="BC3" s="117"/>
      <c r="BD3" s="117"/>
      <c r="BE3" s="117"/>
      <c r="BF3" s="118"/>
      <c r="BG3" s="116">
        <f t="shared" ref="BG3" si="5">BG4</f>
        <v>45600</v>
      </c>
      <c r="BH3" s="117"/>
      <c r="BI3" s="117"/>
      <c r="BJ3" s="117"/>
      <c r="BK3" s="117"/>
      <c r="BL3" s="117"/>
      <c r="BM3" s="118"/>
      <c r="BN3" s="116">
        <f t="shared" ref="BN3" si="6">BN4</f>
        <v>45607</v>
      </c>
      <c r="BO3" s="117"/>
      <c r="BP3" s="117"/>
      <c r="BQ3" s="117"/>
      <c r="BR3" s="117"/>
      <c r="BS3" s="117"/>
      <c r="BT3" s="118"/>
      <c r="BU3" s="116">
        <f t="shared" ref="BU3" si="7">BU4</f>
        <v>45614</v>
      </c>
      <c r="BV3" s="117"/>
      <c r="BW3" s="117"/>
      <c r="BX3" s="117"/>
      <c r="BY3" s="117"/>
      <c r="BZ3" s="117"/>
      <c r="CA3" s="118"/>
      <c r="CB3" s="116">
        <f t="shared" ref="CB3" si="8">CB4</f>
        <v>45621</v>
      </c>
      <c r="CC3" s="117"/>
      <c r="CD3" s="117"/>
      <c r="CE3" s="117"/>
      <c r="CF3" s="117"/>
      <c r="CG3" s="117"/>
      <c r="CH3" s="118"/>
      <c r="CI3" s="116">
        <f t="shared" ref="CI3" si="9">CI4</f>
        <v>45628</v>
      </c>
      <c r="CJ3" s="117"/>
      <c r="CK3" s="117"/>
      <c r="CL3" s="117"/>
      <c r="CM3" s="117"/>
      <c r="CN3" s="117"/>
      <c r="CO3" s="118"/>
      <c r="CP3" s="116">
        <f t="shared" ref="CP3" si="10">CP4</f>
        <v>45635</v>
      </c>
      <c r="CQ3" s="117"/>
      <c r="CR3" s="117"/>
      <c r="CS3" s="117"/>
      <c r="CT3" s="117"/>
      <c r="CU3" s="117"/>
      <c r="CV3" s="118"/>
      <c r="CW3" s="116">
        <f t="shared" ref="CW3" si="11">CW4</f>
        <v>45642</v>
      </c>
      <c r="CX3" s="117"/>
      <c r="CY3" s="117"/>
      <c r="CZ3" s="117"/>
      <c r="DA3" s="117"/>
      <c r="DB3" s="117"/>
      <c r="DC3" s="118"/>
    </row>
    <row r="4" spans="1:107" ht="15" customHeight="1" x14ac:dyDescent="0.25">
      <c r="A4" s="23" t="s">
        <v>8</v>
      </c>
      <c r="B4" s="29"/>
      <c r="C4" s="29"/>
      <c r="D4" s="29"/>
      <c r="E4" s="29"/>
      <c r="F4" s="29"/>
      <c r="G4" s="29"/>
      <c r="H4" s="29"/>
      <c r="J4" s="40">
        <f>Projektanfang-WEEKDAY(Projektanfang,1)+2+7*(Anzeigewoche-1)</f>
        <v>45551</v>
      </c>
      <c r="K4" s="40">
        <f>J4+1</f>
        <v>45552</v>
      </c>
      <c r="L4" s="40">
        <f t="shared" ref="L4:P4" si="12">K4+1</f>
        <v>45553</v>
      </c>
      <c r="M4" s="40">
        <f t="shared" si="12"/>
        <v>45554</v>
      </c>
      <c r="N4" s="40">
        <f t="shared" si="12"/>
        <v>45555</v>
      </c>
      <c r="O4" s="40">
        <f t="shared" si="12"/>
        <v>45556</v>
      </c>
      <c r="P4" s="40">
        <f t="shared" si="12"/>
        <v>45557</v>
      </c>
      <c r="Q4" s="34">
        <f>P4+1</f>
        <v>45558</v>
      </c>
      <c r="R4" s="35">
        <f>Q4+1</f>
        <v>45559</v>
      </c>
      <c r="S4" s="35">
        <f t="shared" ref="S4:AY4" si="13">R4+1</f>
        <v>45560</v>
      </c>
      <c r="T4" s="35">
        <f t="shared" si="13"/>
        <v>45561</v>
      </c>
      <c r="U4" s="35">
        <f t="shared" si="13"/>
        <v>45562</v>
      </c>
      <c r="V4" s="35">
        <f t="shared" si="13"/>
        <v>45563</v>
      </c>
      <c r="W4" s="36">
        <f t="shared" si="13"/>
        <v>45564</v>
      </c>
      <c r="X4" s="34">
        <f>W4+1</f>
        <v>45565</v>
      </c>
      <c r="Y4" s="35">
        <f>X4+1</f>
        <v>45566</v>
      </c>
      <c r="Z4" s="35">
        <f t="shared" si="13"/>
        <v>45567</v>
      </c>
      <c r="AA4" s="35">
        <f t="shared" si="13"/>
        <v>45568</v>
      </c>
      <c r="AB4" s="35">
        <f t="shared" si="13"/>
        <v>45569</v>
      </c>
      <c r="AC4" s="35">
        <f t="shared" si="13"/>
        <v>45570</v>
      </c>
      <c r="AD4" s="36">
        <f t="shared" si="13"/>
        <v>45571</v>
      </c>
      <c r="AE4" s="34">
        <f>AD4+1</f>
        <v>45572</v>
      </c>
      <c r="AF4" s="35">
        <f>AE4+1</f>
        <v>45573</v>
      </c>
      <c r="AG4" s="35">
        <f t="shared" si="13"/>
        <v>45574</v>
      </c>
      <c r="AH4" s="35">
        <f t="shared" si="13"/>
        <v>45575</v>
      </c>
      <c r="AI4" s="35">
        <f t="shared" si="13"/>
        <v>45576</v>
      </c>
      <c r="AJ4" s="35">
        <f t="shared" si="13"/>
        <v>45577</v>
      </c>
      <c r="AK4" s="36">
        <f t="shared" si="13"/>
        <v>45578</v>
      </c>
      <c r="AL4" s="34">
        <f>AK4+1</f>
        <v>45579</v>
      </c>
      <c r="AM4" s="35">
        <f>AL4+1</f>
        <v>45580</v>
      </c>
      <c r="AN4" s="35">
        <f t="shared" si="13"/>
        <v>45581</v>
      </c>
      <c r="AO4" s="35">
        <f t="shared" si="13"/>
        <v>45582</v>
      </c>
      <c r="AP4" s="35">
        <f t="shared" si="13"/>
        <v>45583</v>
      </c>
      <c r="AQ4" s="35">
        <f t="shared" si="13"/>
        <v>45584</v>
      </c>
      <c r="AR4" s="36">
        <f t="shared" si="13"/>
        <v>45585</v>
      </c>
      <c r="AS4" s="34">
        <f>AR4+1</f>
        <v>45586</v>
      </c>
      <c r="AT4" s="35">
        <f>AS4+1</f>
        <v>45587</v>
      </c>
      <c r="AU4" s="35">
        <f t="shared" si="13"/>
        <v>45588</v>
      </c>
      <c r="AV4" s="35">
        <f t="shared" si="13"/>
        <v>45589</v>
      </c>
      <c r="AW4" s="35">
        <f t="shared" si="13"/>
        <v>45590</v>
      </c>
      <c r="AX4" s="35">
        <f t="shared" si="13"/>
        <v>45591</v>
      </c>
      <c r="AY4" s="36">
        <f t="shared" si="13"/>
        <v>45592</v>
      </c>
      <c r="AZ4" s="34">
        <f>AY4+1</f>
        <v>45593</v>
      </c>
      <c r="BA4" s="35">
        <f>AZ4+1</f>
        <v>45594</v>
      </c>
      <c r="BB4" s="35">
        <f t="shared" ref="BB4:BF4" si="14">BA4+1</f>
        <v>45595</v>
      </c>
      <c r="BC4" s="35">
        <f t="shared" si="14"/>
        <v>45596</v>
      </c>
      <c r="BD4" s="35">
        <f t="shared" si="14"/>
        <v>45597</v>
      </c>
      <c r="BE4" s="35">
        <f t="shared" si="14"/>
        <v>45598</v>
      </c>
      <c r="BF4" s="36">
        <f t="shared" si="14"/>
        <v>45599</v>
      </c>
      <c r="BG4" s="34">
        <f>BF4+1</f>
        <v>45600</v>
      </c>
      <c r="BH4" s="35">
        <f>BG4+1</f>
        <v>45601</v>
      </c>
      <c r="BI4" s="35">
        <f t="shared" ref="BI4:BM4" si="15">BH4+1</f>
        <v>45602</v>
      </c>
      <c r="BJ4" s="35">
        <f t="shared" si="15"/>
        <v>45603</v>
      </c>
      <c r="BK4" s="35">
        <f t="shared" si="15"/>
        <v>45604</v>
      </c>
      <c r="BL4" s="35">
        <f t="shared" si="15"/>
        <v>45605</v>
      </c>
      <c r="BM4" s="36">
        <f t="shared" si="15"/>
        <v>45606</v>
      </c>
      <c r="BN4" s="34">
        <f>BM4+1</f>
        <v>45607</v>
      </c>
      <c r="BO4" s="35">
        <f>BN4+1</f>
        <v>45608</v>
      </c>
      <c r="BP4" s="35">
        <f t="shared" ref="BP4" si="16">BO4+1</f>
        <v>45609</v>
      </c>
      <c r="BQ4" s="35">
        <f t="shared" ref="BQ4" si="17">BP4+1</f>
        <v>45610</v>
      </c>
      <c r="BR4" s="35">
        <f t="shared" ref="BR4" si="18">BQ4+1</f>
        <v>45611</v>
      </c>
      <c r="BS4" s="35">
        <f t="shared" ref="BS4" si="19">BR4+1</f>
        <v>45612</v>
      </c>
      <c r="BT4" s="36">
        <f t="shared" ref="BT4" si="20">BS4+1</f>
        <v>45613</v>
      </c>
      <c r="BU4" s="34">
        <f>BT4+1</f>
        <v>45614</v>
      </c>
      <c r="BV4" s="35">
        <f>BU4+1</f>
        <v>45615</v>
      </c>
      <c r="BW4" s="35">
        <f t="shared" ref="BW4" si="21">BV4+1</f>
        <v>45616</v>
      </c>
      <c r="BX4" s="35">
        <f t="shared" ref="BX4" si="22">BW4+1</f>
        <v>45617</v>
      </c>
      <c r="BY4" s="35">
        <f t="shared" ref="BY4" si="23">BX4+1</f>
        <v>45618</v>
      </c>
      <c r="BZ4" s="35">
        <f t="shared" ref="BZ4" si="24">BY4+1</f>
        <v>45619</v>
      </c>
      <c r="CA4" s="36">
        <f t="shared" ref="CA4" si="25">BZ4+1</f>
        <v>45620</v>
      </c>
      <c r="CB4" s="34">
        <f>CA4+1</f>
        <v>45621</v>
      </c>
      <c r="CC4" s="35">
        <f>CB4+1</f>
        <v>45622</v>
      </c>
      <c r="CD4" s="35">
        <f t="shared" ref="CD4" si="26">CC4+1</f>
        <v>45623</v>
      </c>
      <c r="CE4" s="35">
        <f t="shared" ref="CE4" si="27">CD4+1</f>
        <v>45624</v>
      </c>
      <c r="CF4" s="35">
        <f t="shared" ref="CF4" si="28">CE4+1</f>
        <v>45625</v>
      </c>
      <c r="CG4" s="35">
        <f t="shared" ref="CG4" si="29">CF4+1</f>
        <v>45626</v>
      </c>
      <c r="CH4" s="36">
        <f t="shared" ref="CH4" si="30">CG4+1</f>
        <v>45627</v>
      </c>
      <c r="CI4" s="34">
        <f>CH4+1</f>
        <v>45628</v>
      </c>
      <c r="CJ4" s="35">
        <f>CI4+1</f>
        <v>45629</v>
      </c>
      <c r="CK4" s="35">
        <f t="shared" ref="CK4" si="31">CJ4+1</f>
        <v>45630</v>
      </c>
      <c r="CL4" s="35">
        <f t="shared" ref="CL4" si="32">CK4+1</f>
        <v>45631</v>
      </c>
      <c r="CM4" s="35">
        <f t="shared" ref="CM4" si="33">CL4+1</f>
        <v>45632</v>
      </c>
      <c r="CN4" s="35">
        <f t="shared" ref="CN4" si="34">CM4+1</f>
        <v>45633</v>
      </c>
      <c r="CO4" s="36">
        <f t="shared" ref="CO4" si="35">CN4+1</f>
        <v>45634</v>
      </c>
      <c r="CP4" s="34">
        <f>CO4+1</f>
        <v>45635</v>
      </c>
      <c r="CQ4" s="35">
        <f>CP4+1</f>
        <v>45636</v>
      </c>
      <c r="CR4" s="35">
        <f t="shared" ref="CR4" si="36">CQ4+1</f>
        <v>45637</v>
      </c>
      <c r="CS4" s="35">
        <f t="shared" ref="CS4" si="37">CR4+1</f>
        <v>45638</v>
      </c>
      <c r="CT4" s="35">
        <f t="shared" ref="CT4" si="38">CS4+1</f>
        <v>45639</v>
      </c>
      <c r="CU4" s="35">
        <f t="shared" ref="CU4" si="39">CT4+1</f>
        <v>45640</v>
      </c>
      <c r="CV4" s="36">
        <f t="shared" ref="CV4" si="40">CU4+1</f>
        <v>45641</v>
      </c>
      <c r="CW4" s="34">
        <f>CV4+1</f>
        <v>45642</v>
      </c>
      <c r="CX4" s="35">
        <f>CW4+1</f>
        <v>45643</v>
      </c>
      <c r="CY4" s="35">
        <f t="shared" ref="CY4" si="41">CX4+1</f>
        <v>45644</v>
      </c>
      <c r="CZ4" s="35">
        <f t="shared" ref="CZ4" si="42">CY4+1</f>
        <v>45645</v>
      </c>
      <c r="DA4" s="35">
        <f t="shared" ref="DA4" si="43">CZ4+1</f>
        <v>45646</v>
      </c>
      <c r="DB4" s="35">
        <f t="shared" ref="DB4" si="44">DA4+1</f>
        <v>45647</v>
      </c>
      <c r="DC4" s="36">
        <f t="shared" ref="DC4" si="45">DB4+1</f>
        <v>45648</v>
      </c>
    </row>
    <row r="5" spans="1:107" ht="27.6" customHeight="1" thickBot="1" x14ac:dyDescent="0.3">
      <c r="A5" s="23" t="s">
        <v>9</v>
      </c>
      <c r="B5" s="8" t="s">
        <v>10</v>
      </c>
      <c r="C5" s="9" t="s">
        <v>11</v>
      </c>
      <c r="D5" s="9" t="s">
        <v>12</v>
      </c>
      <c r="E5" s="9" t="s">
        <v>13</v>
      </c>
      <c r="F5" s="9" t="s">
        <v>14</v>
      </c>
      <c r="G5" s="38" t="s">
        <v>15</v>
      </c>
      <c r="H5" s="9"/>
      <c r="I5" s="9" t="s">
        <v>16</v>
      </c>
      <c r="J5" s="39" t="str">
        <f>LEFT(TEXT(J4,"[$-en-GB]TTTT;@"),1)</f>
        <v>M</v>
      </c>
      <c r="K5" s="39" t="str">
        <f t="shared" ref="K5:P5" si="46">LEFT(TEXT(K4,"[$-en-GB]TTTT;@"),1)</f>
        <v>T</v>
      </c>
      <c r="L5" s="39" t="str">
        <f t="shared" si="46"/>
        <v>W</v>
      </c>
      <c r="M5" s="39" t="str">
        <f t="shared" si="46"/>
        <v>T</v>
      </c>
      <c r="N5" s="39" t="str">
        <f t="shared" si="46"/>
        <v>F</v>
      </c>
      <c r="O5" s="39" t="str">
        <f t="shared" si="46"/>
        <v>S</v>
      </c>
      <c r="P5" s="39" t="str">
        <f t="shared" si="46"/>
        <v>S</v>
      </c>
      <c r="Q5" s="39" t="str">
        <f t="shared" ref="Q5" si="47">LEFT(TEXT(Q4,"[$-en-GB]TTTT;@"),1)</f>
        <v>M</v>
      </c>
      <c r="R5" s="39" t="str">
        <f t="shared" ref="R5" si="48">LEFT(TEXT(R4,"[$-en-GB]TTTT;@"),1)</f>
        <v>T</v>
      </c>
      <c r="S5" s="39" t="str">
        <f t="shared" ref="S5" si="49">LEFT(TEXT(S4,"[$-en-GB]TTTT;@"),1)</f>
        <v>W</v>
      </c>
      <c r="T5" s="39" t="str">
        <f t="shared" ref="T5" si="50">LEFT(TEXT(T4,"[$-en-GB]TTTT;@"),1)</f>
        <v>T</v>
      </c>
      <c r="U5" s="39" t="str">
        <f t="shared" ref="U5" si="51">LEFT(TEXT(U4,"[$-en-GB]TTTT;@"),1)</f>
        <v>F</v>
      </c>
      <c r="V5" s="39" t="str">
        <f t="shared" ref="V5" si="52">LEFT(TEXT(V4,"[$-en-GB]TTTT;@"),1)</f>
        <v>S</v>
      </c>
      <c r="W5" s="39" t="str">
        <f t="shared" ref="W5" si="53">LEFT(TEXT(W4,"[$-en-GB]TTTT;@"),1)</f>
        <v>S</v>
      </c>
      <c r="X5" s="39" t="str">
        <f t="shared" ref="X5" si="54">LEFT(TEXT(X4,"[$-en-GB]TTTT;@"),1)</f>
        <v>M</v>
      </c>
      <c r="Y5" s="39" t="str">
        <f t="shared" ref="Y5" si="55">LEFT(TEXT(Y4,"[$-en-GB]TTTT;@"),1)</f>
        <v>T</v>
      </c>
      <c r="Z5" s="39" t="str">
        <f t="shared" ref="Z5" si="56">LEFT(TEXT(Z4,"[$-en-GB]TTTT;@"),1)</f>
        <v>W</v>
      </c>
      <c r="AA5" s="39" t="str">
        <f t="shared" ref="AA5" si="57">LEFT(TEXT(AA4,"[$-en-GB]TTTT;@"),1)</f>
        <v>T</v>
      </c>
      <c r="AB5" s="39" t="str">
        <f t="shared" ref="AB5" si="58">LEFT(TEXT(AB4,"[$-en-GB]TTTT;@"),1)</f>
        <v>F</v>
      </c>
      <c r="AC5" s="39" t="str">
        <f t="shared" ref="AC5" si="59">LEFT(TEXT(AC4,"[$-en-GB]TTTT;@"),1)</f>
        <v>S</v>
      </c>
      <c r="AD5" s="39" t="str">
        <f t="shared" ref="AD5" si="60">LEFT(TEXT(AD4,"[$-en-GB]TTTT;@"),1)</f>
        <v>S</v>
      </c>
      <c r="AE5" s="39" t="str">
        <f t="shared" ref="AE5" si="61">LEFT(TEXT(AE4,"[$-en-GB]TTTT;@"),1)</f>
        <v>M</v>
      </c>
      <c r="AF5" s="39" t="str">
        <f t="shared" ref="AF5" si="62">LEFT(TEXT(AF4,"[$-en-GB]TTTT;@"),1)</f>
        <v>T</v>
      </c>
      <c r="AG5" s="39" t="str">
        <f t="shared" ref="AG5" si="63">LEFT(TEXT(AG4,"[$-en-GB]TTTT;@"),1)</f>
        <v>W</v>
      </c>
      <c r="AH5" s="39" t="str">
        <f t="shared" ref="AH5" si="64">LEFT(TEXT(AH4,"[$-en-GB]TTTT;@"),1)</f>
        <v>T</v>
      </c>
      <c r="AI5" s="39" t="str">
        <f t="shared" ref="AI5" si="65">LEFT(TEXT(AI4,"[$-en-GB]TTTT;@"),1)</f>
        <v>F</v>
      </c>
      <c r="AJ5" s="39" t="str">
        <f t="shared" ref="AJ5" si="66">LEFT(TEXT(AJ4,"[$-en-GB]TTTT;@"),1)</f>
        <v>S</v>
      </c>
      <c r="AK5" s="39" t="str">
        <f t="shared" ref="AK5" si="67">LEFT(TEXT(AK4,"[$-en-GB]TTTT;@"),1)</f>
        <v>S</v>
      </c>
      <c r="AL5" s="39" t="str">
        <f t="shared" ref="AL5" si="68">LEFT(TEXT(AL4,"[$-en-GB]TTTT;@"),1)</f>
        <v>M</v>
      </c>
      <c r="AM5" s="39" t="str">
        <f t="shared" ref="AM5" si="69">LEFT(TEXT(AM4,"[$-en-GB]TTTT;@"),1)</f>
        <v>T</v>
      </c>
      <c r="AN5" s="39" t="str">
        <f t="shared" ref="AN5" si="70">LEFT(TEXT(AN4,"[$-en-GB]TTTT;@"),1)</f>
        <v>W</v>
      </c>
      <c r="AO5" s="39" t="str">
        <f t="shared" ref="AO5" si="71">LEFT(TEXT(AO4,"[$-en-GB]TTTT;@"),1)</f>
        <v>T</v>
      </c>
      <c r="AP5" s="39" t="str">
        <f t="shared" ref="AP5" si="72">LEFT(TEXT(AP4,"[$-en-GB]TTTT;@"),1)</f>
        <v>F</v>
      </c>
      <c r="AQ5" s="39" t="str">
        <f t="shared" ref="AQ5" si="73">LEFT(TEXT(AQ4,"[$-en-GB]TTTT;@"),1)</f>
        <v>S</v>
      </c>
      <c r="AR5" s="39" t="str">
        <f t="shared" ref="AR5" si="74">LEFT(TEXT(AR4,"[$-en-GB]TTTT;@"),1)</f>
        <v>S</v>
      </c>
      <c r="AS5" s="39" t="str">
        <f t="shared" ref="AS5" si="75">LEFT(TEXT(AS4,"[$-en-GB]TTTT;@"),1)</f>
        <v>M</v>
      </c>
      <c r="AT5" s="39" t="str">
        <f t="shared" ref="AT5" si="76">LEFT(TEXT(AT4,"[$-en-GB]TTTT;@"),1)</f>
        <v>T</v>
      </c>
      <c r="AU5" s="39" t="str">
        <f t="shared" ref="AU5" si="77">LEFT(TEXT(AU4,"[$-en-GB]TTTT;@"),1)</f>
        <v>W</v>
      </c>
      <c r="AV5" s="39" t="str">
        <f t="shared" ref="AV5" si="78">LEFT(TEXT(AV4,"[$-en-GB]TTTT;@"),1)</f>
        <v>T</v>
      </c>
      <c r="AW5" s="39" t="str">
        <f t="shared" ref="AW5" si="79">LEFT(TEXT(AW4,"[$-en-GB]TTTT;@"),1)</f>
        <v>F</v>
      </c>
      <c r="AX5" s="39" t="str">
        <f t="shared" ref="AX5" si="80">LEFT(TEXT(AX4,"[$-en-GB]TTTT;@"),1)</f>
        <v>S</v>
      </c>
      <c r="AY5" s="39" t="str">
        <f t="shared" ref="AY5" si="81">LEFT(TEXT(AY4,"[$-en-GB]TTTT;@"),1)</f>
        <v>S</v>
      </c>
      <c r="AZ5" s="39" t="str">
        <f t="shared" ref="AZ5" si="82">LEFT(TEXT(AZ4,"[$-en-GB]TTTT;@"),1)</f>
        <v>M</v>
      </c>
      <c r="BA5" s="39" t="str">
        <f t="shared" ref="BA5" si="83">LEFT(TEXT(BA4,"[$-en-GB]TTTT;@"),1)</f>
        <v>T</v>
      </c>
      <c r="BB5" s="39" t="str">
        <f t="shared" ref="BB5" si="84">LEFT(TEXT(BB4,"[$-en-GB]TTTT;@"),1)</f>
        <v>W</v>
      </c>
      <c r="BC5" s="39" t="str">
        <f t="shared" ref="BC5" si="85">LEFT(TEXT(BC4,"[$-en-GB]TTTT;@"),1)</f>
        <v>T</v>
      </c>
      <c r="BD5" s="39" t="str">
        <f t="shared" ref="BD5" si="86">LEFT(TEXT(BD4,"[$-en-GB]TTTT;@"),1)</f>
        <v>F</v>
      </c>
      <c r="BE5" s="39" t="str">
        <f t="shared" ref="BE5" si="87">LEFT(TEXT(BE4,"[$-en-GB]TTTT;@"),1)</f>
        <v>S</v>
      </c>
      <c r="BF5" s="39" t="str">
        <f t="shared" ref="BF5" si="88">LEFT(TEXT(BF4,"[$-en-GB]TTTT;@"),1)</f>
        <v>S</v>
      </c>
      <c r="BG5" s="39" t="str">
        <f t="shared" ref="BG5" si="89">LEFT(TEXT(BG4,"[$-en-GB]TTTT;@"),1)</f>
        <v>M</v>
      </c>
      <c r="BH5" s="39" t="str">
        <f t="shared" ref="BH5" si="90">LEFT(TEXT(BH4,"[$-en-GB]TTTT;@"),1)</f>
        <v>T</v>
      </c>
      <c r="BI5" s="39" t="str">
        <f t="shared" ref="BI5" si="91">LEFT(TEXT(BI4,"[$-en-GB]TTTT;@"),1)</f>
        <v>W</v>
      </c>
      <c r="BJ5" s="39" t="str">
        <f t="shared" ref="BJ5" si="92">LEFT(TEXT(BJ4,"[$-en-GB]TTTT;@"),1)</f>
        <v>T</v>
      </c>
      <c r="BK5" s="39" t="str">
        <f t="shared" ref="BK5" si="93">LEFT(TEXT(BK4,"[$-en-GB]TTTT;@"),1)</f>
        <v>F</v>
      </c>
      <c r="BL5" s="39" t="str">
        <f t="shared" ref="BL5" si="94">LEFT(TEXT(BL4,"[$-en-GB]TTTT;@"),1)</f>
        <v>S</v>
      </c>
      <c r="BM5" s="39" t="str">
        <f t="shared" ref="BM5" si="95">LEFT(TEXT(BM4,"[$-en-GB]TTTT;@"),1)</f>
        <v>S</v>
      </c>
      <c r="BN5" s="39" t="str">
        <f t="shared" ref="BN5" si="96">LEFT(TEXT(BN4,"[$-en-GB]TTTT;@"),1)</f>
        <v>M</v>
      </c>
      <c r="BO5" s="39" t="str">
        <f t="shared" ref="BO5" si="97">LEFT(TEXT(BO4,"[$-en-GB]TTTT;@"),1)</f>
        <v>T</v>
      </c>
      <c r="BP5" s="39" t="str">
        <f t="shared" ref="BP5" si="98">LEFT(TEXT(BP4,"[$-en-GB]TTTT;@"),1)</f>
        <v>W</v>
      </c>
      <c r="BQ5" s="39" t="str">
        <f t="shared" ref="BQ5" si="99">LEFT(TEXT(BQ4,"[$-en-GB]TTTT;@"),1)</f>
        <v>T</v>
      </c>
      <c r="BR5" s="39" t="str">
        <f t="shared" ref="BR5" si="100">LEFT(TEXT(BR4,"[$-en-GB]TTTT;@"),1)</f>
        <v>F</v>
      </c>
      <c r="BS5" s="39" t="str">
        <f t="shared" ref="BS5" si="101">LEFT(TEXT(BS4,"[$-en-GB]TTTT;@"),1)</f>
        <v>S</v>
      </c>
      <c r="BT5" s="39" t="str">
        <f t="shared" ref="BT5" si="102">LEFT(TEXT(BT4,"[$-en-GB]TTTT;@"),1)</f>
        <v>S</v>
      </c>
      <c r="BU5" s="39" t="str">
        <f t="shared" ref="BU5" si="103">LEFT(TEXT(BU4,"[$-en-GB]TTTT;@"),1)</f>
        <v>M</v>
      </c>
      <c r="BV5" s="39" t="str">
        <f t="shared" ref="BV5" si="104">LEFT(TEXT(BV4,"[$-en-GB]TTTT;@"),1)</f>
        <v>T</v>
      </c>
      <c r="BW5" s="39" t="str">
        <f t="shared" ref="BW5" si="105">LEFT(TEXT(BW4,"[$-en-GB]TTTT;@"),1)</f>
        <v>W</v>
      </c>
      <c r="BX5" s="39" t="str">
        <f t="shared" ref="BX5" si="106">LEFT(TEXT(BX4,"[$-en-GB]TTTT;@"),1)</f>
        <v>T</v>
      </c>
      <c r="BY5" s="39" t="str">
        <f t="shared" ref="BY5" si="107">LEFT(TEXT(BY4,"[$-en-GB]TTTT;@"),1)</f>
        <v>F</v>
      </c>
      <c r="BZ5" s="39" t="str">
        <f t="shared" ref="BZ5" si="108">LEFT(TEXT(BZ4,"[$-en-GB]TTTT;@"),1)</f>
        <v>S</v>
      </c>
      <c r="CA5" s="39" t="str">
        <f t="shared" ref="CA5" si="109">LEFT(TEXT(CA4,"[$-en-GB]TTTT;@"),1)</f>
        <v>S</v>
      </c>
      <c r="CB5" s="39" t="str">
        <f t="shared" ref="CB5" si="110">LEFT(TEXT(CB4,"[$-en-GB]TTTT;@"),1)</f>
        <v>M</v>
      </c>
      <c r="CC5" s="39" t="str">
        <f t="shared" ref="CC5" si="111">LEFT(TEXT(CC4,"[$-en-GB]TTTT;@"),1)</f>
        <v>T</v>
      </c>
      <c r="CD5" s="39" t="str">
        <f t="shared" ref="CD5" si="112">LEFT(TEXT(CD4,"[$-en-GB]TTTT;@"),1)</f>
        <v>W</v>
      </c>
      <c r="CE5" s="39" t="str">
        <f t="shared" ref="CE5" si="113">LEFT(TEXT(CE4,"[$-en-GB]TTTT;@"),1)</f>
        <v>T</v>
      </c>
      <c r="CF5" s="39" t="str">
        <f t="shared" ref="CF5" si="114">LEFT(TEXT(CF4,"[$-en-GB]TTTT;@"),1)</f>
        <v>F</v>
      </c>
      <c r="CG5" s="39" t="str">
        <f t="shared" ref="CG5" si="115">LEFT(TEXT(CG4,"[$-en-GB]TTTT;@"),1)</f>
        <v>S</v>
      </c>
      <c r="CH5" s="39" t="str">
        <f t="shared" ref="CH5" si="116">LEFT(TEXT(CH4,"[$-en-GB]TTTT;@"),1)</f>
        <v>S</v>
      </c>
      <c r="CI5" s="39" t="str">
        <f t="shared" ref="CI5" si="117">LEFT(TEXT(CI4,"[$-en-GB]TTTT;@"),1)</f>
        <v>M</v>
      </c>
      <c r="CJ5" s="39" t="str">
        <f t="shared" ref="CJ5" si="118">LEFT(TEXT(CJ4,"[$-en-GB]TTTT;@"),1)</f>
        <v>T</v>
      </c>
      <c r="CK5" s="39" t="str">
        <f t="shared" ref="CK5" si="119">LEFT(TEXT(CK4,"[$-en-GB]TTTT;@"),1)</f>
        <v>W</v>
      </c>
      <c r="CL5" s="39" t="str">
        <f t="shared" ref="CL5" si="120">LEFT(TEXT(CL4,"[$-en-GB]TTTT;@"),1)</f>
        <v>T</v>
      </c>
      <c r="CM5" s="39" t="str">
        <f t="shared" ref="CM5" si="121">LEFT(TEXT(CM4,"[$-en-GB]TTTT;@"),1)</f>
        <v>F</v>
      </c>
      <c r="CN5" s="39" t="str">
        <f t="shared" ref="CN5" si="122">LEFT(TEXT(CN4,"[$-en-GB]TTTT;@"),1)</f>
        <v>S</v>
      </c>
      <c r="CO5" s="39" t="str">
        <f t="shared" ref="CO5" si="123">LEFT(TEXT(CO4,"[$-en-GB]TTTT;@"),1)</f>
        <v>S</v>
      </c>
      <c r="CP5" s="39" t="str">
        <f t="shared" ref="CP5" si="124">LEFT(TEXT(CP4,"[$-en-GB]TTTT;@"),1)</f>
        <v>M</v>
      </c>
      <c r="CQ5" s="39" t="str">
        <f t="shared" ref="CQ5" si="125">LEFT(TEXT(CQ4,"[$-en-GB]TTTT;@"),1)</f>
        <v>T</v>
      </c>
      <c r="CR5" s="39" t="str">
        <f t="shared" ref="CR5" si="126">LEFT(TEXT(CR4,"[$-en-GB]TTTT;@"),1)</f>
        <v>W</v>
      </c>
      <c r="CS5" s="39" t="str">
        <f t="shared" ref="CS5" si="127">LEFT(TEXT(CS4,"[$-en-GB]TTTT;@"),1)</f>
        <v>T</v>
      </c>
      <c r="CT5" s="39" t="str">
        <f t="shared" ref="CT5" si="128">LEFT(TEXT(CT4,"[$-en-GB]TTTT;@"),1)</f>
        <v>F</v>
      </c>
      <c r="CU5" s="39" t="str">
        <f t="shared" ref="CU5" si="129">LEFT(TEXT(CU4,"[$-en-GB]TTTT;@"),1)</f>
        <v>S</v>
      </c>
      <c r="CV5" s="39" t="str">
        <f t="shared" ref="CV5" si="130">LEFT(TEXT(CV4,"[$-en-GB]TTTT;@"),1)</f>
        <v>S</v>
      </c>
      <c r="CW5" s="39" t="str">
        <f t="shared" ref="CW5" si="131">LEFT(TEXT(CW4,"[$-en-GB]TTTT;@"),1)</f>
        <v>M</v>
      </c>
      <c r="CX5" s="39" t="str">
        <f t="shared" ref="CX5" si="132">LEFT(TEXT(CX4,"[$-en-GB]TTTT;@"),1)</f>
        <v>T</v>
      </c>
      <c r="CY5" s="39" t="str">
        <f t="shared" ref="CY5" si="133">LEFT(TEXT(CY4,"[$-en-GB]TTTT;@"),1)</f>
        <v>W</v>
      </c>
      <c r="CZ5" s="39" t="str">
        <f t="shared" ref="CZ5" si="134">LEFT(TEXT(CZ4,"[$-en-GB]TTTT;@"),1)</f>
        <v>T</v>
      </c>
      <c r="DA5" s="39" t="str">
        <f t="shared" ref="DA5" si="135">LEFT(TEXT(DA4,"[$-en-GB]TTTT;@"),1)</f>
        <v>F</v>
      </c>
      <c r="DB5" s="39" t="str">
        <f t="shared" ref="DB5" si="136">LEFT(TEXT(DB4,"[$-en-GB]TTTT;@"),1)</f>
        <v>S</v>
      </c>
      <c r="DC5" s="39" t="str">
        <f t="shared" ref="DC5" si="137">LEFT(TEXT(DC4,"[$-en-GB]TTTT;@"),1)</f>
        <v>S</v>
      </c>
    </row>
    <row r="6" spans="1:107" ht="27.6" hidden="1" customHeight="1" thickBot="1" x14ac:dyDescent="0.3">
      <c r="A6" s="22" t="s">
        <v>17</v>
      </c>
      <c r="C6" s="25" t="s">
        <v>18</v>
      </c>
      <c r="D6" s="25"/>
      <c r="F6" t="s">
        <v>19</v>
      </c>
      <c r="G6" t="s">
        <v>20</v>
      </c>
      <c r="I6" t="e">
        <f>IF(OR(ISBLANK(task_start),ISBLANK(task_end)),"",task_end-task_start+1)</f>
        <v>#VALUE!</v>
      </c>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row>
    <row r="7" spans="1:107" s="3" customFormat="1" ht="27.6" customHeight="1" thickBot="1" x14ac:dyDescent="0.3">
      <c r="A7" s="23" t="s">
        <v>21</v>
      </c>
      <c r="B7" s="71" t="s">
        <v>22</v>
      </c>
      <c r="C7" s="37"/>
      <c r="D7" s="61"/>
      <c r="E7" s="42"/>
      <c r="F7" s="42"/>
      <c r="G7" s="42"/>
      <c r="H7" s="13"/>
      <c r="I7" s="13" t="str">
        <f t="shared" ref="I7:I51" si="138">IF(OR(ISBLANK(task_start),ISBLANK(task_end)),"",task_end-task_start+1)</f>
        <v/>
      </c>
      <c r="J7" s="18"/>
      <c r="K7" s="18"/>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row>
    <row r="8" spans="1:107" s="3" customFormat="1" ht="15.75" thickBot="1" x14ac:dyDescent="0.3">
      <c r="A8" s="23"/>
      <c r="B8" s="110" t="s">
        <v>23</v>
      </c>
      <c r="C8" s="121" t="s">
        <v>24</v>
      </c>
      <c r="D8" s="119">
        <v>45569</v>
      </c>
      <c r="E8" s="43" t="s">
        <v>19</v>
      </c>
      <c r="F8" s="41">
        <v>45555</v>
      </c>
      <c r="G8" s="41">
        <v>45562</v>
      </c>
      <c r="H8" s="13"/>
      <c r="I8" s="13">
        <f t="shared" si="138"/>
        <v>8</v>
      </c>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row>
    <row r="9" spans="1:107" s="3" customFormat="1" ht="15.75" thickBot="1" x14ac:dyDescent="0.3">
      <c r="A9" s="23"/>
      <c r="B9" s="111"/>
      <c r="C9" s="122"/>
      <c r="D9" s="120"/>
      <c r="E9" s="43" t="s">
        <v>20</v>
      </c>
      <c r="F9" s="41">
        <v>45555</v>
      </c>
      <c r="G9" s="41">
        <v>45562</v>
      </c>
      <c r="H9" s="13"/>
      <c r="I9" s="13">
        <f t="shared" si="138"/>
        <v>8</v>
      </c>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row>
    <row r="10" spans="1:107" s="3" customFormat="1" ht="15" customHeight="1" thickBot="1" x14ac:dyDescent="0.3">
      <c r="A10" s="23" t="s">
        <v>25</v>
      </c>
      <c r="B10" s="110" t="s">
        <v>26</v>
      </c>
      <c r="C10" s="112" t="s">
        <v>27</v>
      </c>
      <c r="D10" s="119">
        <v>45569</v>
      </c>
      <c r="E10" s="43" t="s">
        <v>19</v>
      </c>
      <c r="F10" s="41">
        <v>45555</v>
      </c>
      <c r="G10" s="41">
        <v>45562</v>
      </c>
      <c r="H10" s="13"/>
      <c r="I10" s="13">
        <f t="shared" si="138"/>
        <v>8</v>
      </c>
      <c r="J10" s="18"/>
      <c r="K10" s="18"/>
      <c r="L10" s="18"/>
      <c r="M10" s="18"/>
      <c r="N10" s="18"/>
      <c r="O10" s="18"/>
      <c r="P10" s="18"/>
      <c r="Q10" s="18"/>
      <c r="R10" s="18"/>
      <c r="S10" s="18"/>
      <c r="T10" s="18"/>
      <c r="U10" s="18"/>
      <c r="V10" s="19"/>
      <c r="W10" s="19"/>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row>
    <row r="11" spans="1:107" s="3" customFormat="1" ht="15" customHeight="1" thickBot="1" x14ac:dyDescent="0.3">
      <c r="A11" s="23"/>
      <c r="B11" s="111"/>
      <c r="C11" s="113"/>
      <c r="D11" s="120"/>
      <c r="E11" s="43" t="s">
        <v>20</v>
      </c>
      <c r="F11" s="41">
        <v>45555</v>
      </c>
      <c r="G11" s="41">
        <v>45562</v>
      </c>
      <c r="H11" s="13"/>
      <c r="I11" s="13">
        <f t="shared" si="138"/>
        <v>8</v>
      </c>
      <c r="J11" s="18"/>
      <c r="K11" s="18"/>
      <c r="L11" s="18"/>
      <c r="M11" s="18"/>
      <c r="N11" s="18"/>
      <c r="O11" s="18"/>
      <c r="P11" s="18"/>
      <c r="Q11" s="18"/>
      <c r="R11" s="18"/>
      <c r="S11" s="18"/>
      <c r="T11" s="18"/>
      <c r="U11" s="18"/>
      <c r="V11" s="19"/>
      <c r="W11" s="19"/>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row>
    <row r="12" spans="1:107" s="3" customFormat="1" ht="15" customHeight="1" thickBot="1" x14ac:dyDescent="0.3">
      <c r="A12" s="23"/>
      <c r="B12" s="123" t="s">
        <v>28</v>
      </c>
      <c r="C12" s="121" t="s">
        <v>29</v>
      </c>
      <c r="D12" s="119">
        <v>45569</v>
      </c>
      <c r="E12" s="43" t="s">
        <v>19</v>
      </c>
      <c r="F12" s="41">
        <v>45555</v>
      </c>
      <c r="G12" s="41">
        <v>45562</v>
      </c>
      <c r="H12" s="13"/>
      <c r="I12" s="13">
        <f t="shared" si="138"/>
        <v>8</v>
      </c>
      <c r="J12" s="18"/>
      <c r="K12" s="18"/>
      <c r="L12" s="18"/>
      <c r="M12" s="18"/>
      <c r="N12" s="18"/>
      <c r="O12" s="18"/>
      <c r="P12" s="18"/>
      <c r="Q12" s="18"/>
      <c r="R12" s="18"/>
      <c r="S12" s="18"/>
      <c r="T12" s="18"/>
      <c r="U12" s="18"/>
      <c r="V12" s="19"/>
      <c r="W12" s="19"/>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row>
    <row r="13" spans="1:107" s="3" customFormat="1" ht="15" customHeight="1" x14ac:dyDescent="0.25">
      <c r="A13" s="23"/>
      <c r="B13" s="124"/>
      <c r="C13" s="122"/>
      <c r="D13" s="120"/>
      <c r="E13" s="43" t="s">
        <v>20</v>
      </c>
      <c r="F13" s="41">
        <v>45555</v>
      </c>
      <c r="G13" s="41">
        <v>45562</v>
      </c>
      <c r="H13" s="13"/>
      <c r="I13" s="13">
        <f t="shared" si="138"/>
        <v>8</v>
      </c>
      <c r="J13" s="18"/>
      <c r="K13" s="18"/>
      <c r="L13" s="18"/>
      <c r="M13" s="18"/>
      <c r="N13" s="18"/>
      <c r="O13" s="18"/>
      <c r="P13" s="18"/>
      <c r="Q13" s="18"/>
      <c r="R13" s="18"/>
      <c r="S13" s="18"/>
      <c r="T13" s="18"/>
      <c r="U13" s="18"/>
      <c r="V13" s="19"/>
      <c r="W13" s="19"/>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row>
    <row r="14" spans="1:107" s="3" customFormat="1" ht="15" customHeight="1" x14ac:dyDescent="0.25">
      <c r="A14" s="23"/>
      <c r="B14" s="110" t="s">
        <v>30</v>
      </c>
      <c r="C14" s="112" t="s">
        <v>31</v>
      </c>
      <c r="D14" s="119">
        <v>45583</v>
      </c>
      <c r="E14" s="43" t="s">
        <v>19</v>
      </c>
      <c r="F14" s="41">
        <v>45562</v>
      </c>
      <c r="G14" s="41">
        <v>45576</v>
      </c>
      <c r="H14" s="13"/>
      <c r="I14" s="13">
        <f t="shared" si="138"/>
        <v>15</v>
      </c>
      <c r="J14" s="18"/>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row>
    <row r="15" spans="1:107" s="3" customFormat="1" ht="15" customHeight="1" x14ac:dyDescent="0.25">
      <c r="A15" s="23"/>
      <c r="B15" s="111"/>
      <c r="C15" s="113"/>
      <c r="D15" s="120"/>
      <c r="E15" s="43" t="s">
        <v>20</v>
      </c>
      <c r="F15" s="41">
        <v>45562</v>
      </c>
      <c r="G15" s="41">
        <v>45576</v>
      </c>
      <c r="H15" s="13"/>
      <c r="I15" s="13">
        <f t="shared" si="138"/>
        <v>15</v>
      </c>
      <c r="J15" s="18"/>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row>
    <row r="16" spans="1:107" s="3" customFormat="1" ht="30" customHeight="1" x14ac:dyDescent="0.25">
      <c r="A16" s="23" t="s">
        <v>32</v>
      </c>
      <c r="B16" s="72" t="s">
        <v>33</v>
      </c>
      <c r="C16" s="67"/>
      <c r="D16" s="62"/>
      <c r="E16" s="44"/>
      <c r="F16" s="45"/>
      <c r="G16" s="46"/>
      <c r="H16" s="13"/>
      <c r="I16" s="13"/>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row>
    <row r="17" spans="1:107" s="3" customFormat="1" ht="15" customHeight="1" x14ac:dyDescent="0.25">
      <c r="A17" s="23"/>
      <c r="B17" s="106" t="s">
        <v>34</v>
      </c>
      <c r="C17" s="108" t="s">
        <v>35</v>
      </c>
      <c r="D17" s="126">
        <v>45583</v>
      </c>
      <c r="E17" s="76" t="s">
        <v>19</v>
      </c>
      <c r="F17" s="47">
        <v>45562</v>
      </c>
      <c r="G17" s="47">
        <v>45569</v>
      </c>
      <c r="H17" s="13"/>
      <c r="I17" s="13">
        <f t="shared" si="138"/>
        <v>8</v>
      </c>
      <c r="J17" s="18"/>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row>
    <row r="18" spans="1:107" s="3" customFormat="1" ht="15" customHeight="1" thickBot="1" x14ac:dyDescent="0.3">
      <c r="A18" s="23"/>
      <c r="B18" s="107"/>
      <c r="C18" s="109"/>
      <c r="D18" s="127"/>
      <c r="E18" s="76" t="s">
        <v>20</v>
      </c>
      <c r="F18" s="47">
        <v>45562</v>
      </c>
      <c r="G18" s="47"/>
      <c r="H18" s="13"/>
      <c r="I18" s="13" t="str">
        <f t="shared" si="138"/>
        <v/>
      </c>
      <c r="J18" s="18"/>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row>
    <row r="19" spans="1:107" s="3" customFormat="1" ht="15" customHeight="1" thickBot="1" x14ac:dyDescent="0.3">
      <c r="A19" s="23"/>
      <c r="B19" s="106" t="s">
        <v>36</v>
      </c>
      <c r="C19" s="108" t="s">
        <v>35</v>
      </c>
      <c r="D19" s="126">
        <v>45583</v>
      </c>
      <c r="E19" s="76" t="s">
        <v>19</v>
      </c>
      <c r="F19" s="47">
        <v>45569</v>
      </c>
      <c r="G19" s="47">
        <v>45576</v>
      </c>
      <c r="H19" s="13"/>
      <c r="I19" s="13">
        <f t="shared" si="138"/>
        <v>8</v>
      </c>
      <c r="J19" s="18"/>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row>
    <row r="20" spans="1:107" s="3" customFormat="1" ht="15" customHeight="1" thickBot="1" x14ac:dyDescent="0.3">
      <c r="A20" s="23"/>
      <c r="B20" s="107"/>
      <c r="C20" s="109"/>
      <c r="D20" s="127"/>
      <c r="E20" s="76" t="s">
        <v>20</v>
      </c>
      <c r="F20" s="47">
        <v>45569</v>
      </c>
      <c r="G20" s="47">
        <v>45576</v>
      </c>
      <c r="H20" s="13"/>
      <c r="I20" s="13">
        <f t="shared" si="138"/>
        <v>8</v>
      </c>
      <c r="J20" s="18"/>
      <c r="K20" s="18"/>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row>
    <row r="21" spans="1:107" s="3" customFormat="1" ht="15" customHeight="1" thickBot="1" x14ac:dyDescent="0.3">
      <c r="A21" s="23"/>
      <c r="B21" s="106" t="s">
        <v>37</v>
      </c>
      <c r="C21" s="108" t="s">
        <v>35</v>
      </c>
      <c r="D21" s="126" t="s">
        <v>38</v>
      </c>
      <c r="E21" s="76" t="s">
        <v>19</v>
      </c>
      <c r="F21" s="47">
        <v>45576</v>
      </c>
      <c r="G21" s="47">
        <v>45583</v>
      </c>
      <c r="H21" s="13"/>
      <c r="I21" s="13">
        <f t="shared" si="138"/>
        <v>8</v>
      </c>
      <c r="J21" s="18"/>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row>
    <row r="22" spans="1:107" s="3" customFormat="1" ht="15" customHeight="1" thickBot="1" x14ac:dyDescent="0.3">
      <c r="A22" s="23"/>
      <c r="B22" s="107"/>
      <c r="C22" s="109"/>
      <c r="D22" s="127"/>
      <c r="E22" s="76" t="s">
        <v>20</v>
      </c>
      <c r="F22" s="47"/>
      <c r="G22" s="47"/>
      <c r="H22" s="13"/>
      <c r="I22" s="13" t="str">
        <f t="shared" si="138"/>
        <v/>
      </c>
      <c r="J22" s="18"/>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row>
    <row r="23" spans="1:107" s="3" customFormat="1" ht="30" customHeight="1" thickBot="1" x14ac:dyDescent="0.3">
      <c r="A23" s="22" t="s">
        <v>39</v>
      </c>
      <c r="B23" s="73" t="s">
        <v>40</v>
      </c>
      <c r="C23" s="68"/>
      <c r="D23" s="63"/>
      <c r="E23" s="48"/>
      <c r="F23" s="49"/>
      <c r="G23" s="50"/>
      <c r="H23" s="13"/>
      <c r="I23" s="13"/>
      <c r="J23" s="18"/>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row>
    <row r="24" spans="1:107" s="3" customFormat="1" ht="15" customHeight="1" thickBot="1" x14ac:dyDescent="0.3">
      <c r="A24" s="22"/>
      <c r="B24" s="104" t="s">
        <v>41</v>
      </c>
      <c r="C24" s="100" t="s">
        <v>35</v>
      </c>
      <c r="D24" s="83">
        <v>45597</v>
      </c>
      <c r="E24" s="51" t="s">
        <v>19</v>
      </c>
      <c r="F24" s="52">
        <v>45583</v>
      </c>
      <c r="G24" s="52">
        <v>45590</v>
      </c>
      <c r="H24" s="13"/>
      <c r="I24" s="13">
        <f t="shared" si="138"/>
        <v>8</v>
      </c>
      <c r="J24" s="18"/>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row>
    <row r="25" spans="1:107" s="3" customFormat="1" ht="15" customHeight="1" thickBot="1" x14ac:dyDescent="0.3">
      <c r="A25" s="22"/>
      <c r="B25" s="105"/>
      <c r="C25" s="101"/>
      <c r="D25" s="84"/>
      <c r="E25" s="51" t="s">
        <v>20</v>
      </c>
      <c r="F25" s="52"/>
      <c r="G25" s="52"/>
      <c r="H25" s="13"/>
      <c r="I25" s="13" t="str">
        <f t="shared" si="138"/>
        <v/>
      </c>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row>
    <row r="26" spans="1:107" s="3" customFormat="1" ht="15" customHeight="1" thickBot="1" x14ac:dyDescent="0.3">
      <c r="A26" s="22"/>
      <c r="B26" s="104" t="s">
        <v>42</v>
      </c>
      <c r="C26" s="100" t="s">
        <v>35</v>
      </c>
      <c r="D26" s="83">
        <v>45597</v>
      </c>
      <c r="E26" s="51" t="s">
        <v>19</v>
      </c>
      <c r="F26" s="52">
        <v>45583</v>
      </c>
      <c r="G26" s="52">
        <v>45597</v>
      </c>
      <c r="H26" s="13"/>
      <c r="I26" s="13">
        <f t="shared" si="138"/>
        <v>15</v>
      </c>
      <c r="J26" s="18"/>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row>
    <row r="27" spans="1:107" s="3" customFormat="1" ht="15" customHeight="1" thickBot="1" x14ac:dyDescent="0.3">
      <c r="A27" s="22"/>
      <c r="B27" s="105"/>
      <c r="C27" s="101"/>
      <c r="D27" s="84"/>
      <c r="E27" s="51" t="s">
        <v>20</v>
      </c>
      <c r="F27" s="52"/>
      <c r="G27" s="52"/>
      <c r="H27" s="13"/>
      <c r="I27" s="13" t="str">
        <f t="shared" si="138"/>
        <v/>
      </c>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row>
    <row r="28" spans="1:107" s="3" customFormat="1" ht="15" customHeight="1" x14ac:dyDescent="0.25">
      <c r="A28" s="22"/>
      <c r="B28" s="104" t="s">
        <v>43</v>
      </c>
      <c r="C28" s="100" t="s">
        <v>35</v>
      </c>
      <c r="D28" s="83">
        <v>45597</v>
      </c>
      <c r="E28" s="51" t="s">
        <v>19</v>
      </c>
      <c r="F28" s="52">
        <v>45583</v>
      </c>
      <c r="G28" s="52">
        <v>45597</v>
      </c>
      <c r="H28" s="13"/>
      <c r="I28" s="13">
        <f t="shared" si="138"/>
        <v>15</v>
      </c>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row>
    <row r="29" spans="1:107" s="3" customFormat="1" ht="15" customHeight="1" thickBot="1" x14ac:dyDescent="0.3">
      <c r="A29" s="22"/>
      <c r="B29" s="105"/>
      <c r="C29" s="101"/>
      <c r="D29" s="84"/>
      <c r="E29" s="51" t="s">
        <v>20</v>
      </c>
      <c r="F29" s="52"/>
      <c r="G29" s="52"/>
      <c r="H29" s="13"/>
      <c r="I29" s="13" t="str">
        <f t="shared" si="138"/>
        <v/>
      </c>
      <c r="J29" s="18"/>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row>
    <row r="30" spans="1:107" s="3" customFormat="1" ht="15" customHeight="1" thickBot="1" x14ac:dyDescent="0.3">
      <c r="A30" s="22"/>
      <c r="B30" s="98" t="s">
        <v>44</v>
      </c>
      <c r="C30" s="100" t="s">
        <v>45</v>
      </c>
      <c r="D30" s="83" t="s">
        <v>38</v>
      </c>
      <c r="E30" s="51" t="s">
        <v>19</v>
      </c>
      <c r="F30" s="52">
        <v>45583</v>
      </c>
      <c r="G30" s="52">
        <v>45597</v>
      </c>
      <c r="H30" s="13"/>
      <c r="I30" s="13">
        <f t="shared" si="138"/>
        <v>15</v>
      </c>
      <c r="J30" s="18"/>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row>
    <row r="31" spans="1:107" s="3" customFormat="1" ht="15" customHeight="1" thickBot="1" x14ac:dyDescent="0.3">
      <c r="A31" s="22"/>
      <c r="B31" s="99"/>
      <c r="C31" s="101"/>
      <c r="D31" s="84"/>
      <c r="E31" s="51" t="s">
        <v>20</v>
      </c>
      <c r="F31" s="52"/>
      <c r="G31" s="52"/>
      <c r="H31" s="13"/>
      <c r="I31" s="13" t="str">
        <f t="shared" si="138"/>
        <v/>
      </c>
      <c r="J31" s="18"/>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row>
    <row r="32" spans="1:107" s="3" customFormat="1" ht="15" customHeight="1" x14ac:dyDescent="0.25">
      <c r="A32" s="22"/>
      <c r="B32" s="102" t="s">
        <v>46</v>
      </c>
      <c r="C32" s="100" t="s">
        <v>47</v>
      </c>
      <c r="D32" s="83" t="s">
        <v>38</v>
      </c>
      <c r="E32" s="51" t="s">
        <v>19</v>
      </c>
      <c r="F32" s="52">
        <v>45583</v>
      </c>
      <c r="G32" s="52">
        <v>45597</v>
      </c>
      <c r="H32" s="13"/>
      <c r="I32" s="13">
        <f t="shared" si="138"/>
        <v>15</v>
      </c>
      <c r="J32" s="18"/>
      <c r="K32" s="18"/>
      <c r="L32" s="18"/>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row>
    <row r="33" spans="1:107" s="3" customFormat="1" ht="15" customHeight="1" thickBot="1" x14ac:dyDescent="0.3">
      <c r="A33" s="22"/>
      <c r="B33" s="80"/>
      <c r="C33" s="103"/>
      <c r="D33" s="84"/>
      <c r="E33" s="51" t="s">
        <v>20</v>
      </c>
      <c r="F33" s="52"/>
      <c r="G33" s="52"/>
      <c r="H33" s="13"/>
      <c r="I33" s="13" t="str">
        <f t="shared" si="138"/>
        <v/>
      </c>
      <c r="J33" s="18"/>
      <c r="K33" s="18"/>
      <c r="L33" s="18"/>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row>
    <row r="34" spans="1:107" s="3" customFormat="1" ht="15" x14ac:dyDescent="0.25">
      <c r="A34" s="22"/>
      <c r="B34" s="79" t="s">
        <v>48</v>
      </c>
      <c r="C34" s="81" t="s">
        <v>31</v>
      </c>
      <c r="D34" s="83" t="s">
        <v>38</v>
      </c>
      <c r="E34" s="66" t="s">
        <v>19</v>
      </c>
      <c r="F34" s="52">
        <v>45590</v>
      </c>
      <c r="G34" s="52">
        <v>45597</v>
      </c>
      <c r="H34" s="13"/>
      <c r="I34" s="13">
        <f t="shared" si="138"/>
        <v>8</v>
      </c>
      <c r="J34" s="18"/>
      <c r="K34" s="18"/>
      <c r="L34" s="18"/>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row>
    <row r="35" spans="1:107" s="3" customFormat="1" ht="15.75" thickBot="1" x14ac:dyDescent="0.3">
      <c r="A35" s="22"/>
      <c r="B35" s="80"/>
      <c r="C35" s="82"/>
      <c r="D35" s="84"/>
      <c r="E35" s="66" t="s">
        <v>20</v>
      </c>
      <c r="F35" s="52"/>
      <c r="G35" s="52"/>
      <c r="H35" s="13"/>
      <c r="I35" s="13" t="str">
        <f t="shared" si="138"/>
        <v/>
      </c>
      <c r="J35" s="18"/>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row>
    <row r="36" spans="1:107" s="3" customFormat="1" ht="30" customHeight="1" thickBot="1" x14ac:dyDescent="0.3">
      <c r="A36" s="22"/>
      <c r="B36" s="74" t="s">
        <v>49</v>
      </c>
      <c r="C36" s="69"/>
      <c r="D36" s="64"/>
      <c r="E36" s="53"/>
      <c r="F36" s="54"/>
      <c r="G36" s="55"/>
      <c r="H36" s="13"/>
      <c r="I36" s="13"/>
      <c r="J36" s="18"/>
      <c r="K36" s="18"/>
      <c r="L36" s="18"/>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row>
    <row r="37" spans="1:107" s="3" customFormat="1" ht="15" customHeight="1" x14ac:dyDescent="0.25">
      <c r="A37" s="22"/>
      <c r="B37" s="91" t="s">
        <v>50</v>
      </c>
      <c r="C37" s="93" t="s">
        <v>51</v>
      </c>
      <c r="D37" s="128" t="s">
        <v>38</v>
      </c>
      <c r="E37" s="56" t="s">
        <v>19</v>
      </c>
      <c r="F37" s="57">
        <v>45597</v>
      </c>
      <c r="G37" s="57">
        <v>45604</v>
      </c>
      <c r="H37" s="13"/>
      <c r="I37" s="13">
        <f t="shared" si="138"/>
        <v>8</v>
      </c>
      <c r="J37" s="18"/>
      <c r="K37" s="18"/>
      <c r="L37" s="18"/>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row>
    <row r="38" spans="1:107" s="3" customFormat="1" ht="15" customHeight="1" thickBot="1" x14ac:dyDescent="0.3">
      <c r="A38" s="22"/>
      <c r="B38" s="92"/>
      <c r="C38" s="94"/>
      <c r="D38" s="129"/>
      <c r="E38" s="56" t="s">
        <v>20</v>
      </c>
      <c r="F38" s="57"/>
      <c r="G38" s="57"/>
      <c r="H38" s="13"/>
      <c r="I38" s="13" t="str">
        <f t="shared" si="138"/>
        <v/>
      </c>
      <c r="J38" s="18"/>
      <c r="K38" s="18"/>
      <c r="L38" s="18"/>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row>
    <row r="39" spans="1:107" s="3" customFormat="1" ht="15" customHeight="1" thickBot="1" x14ac:dyDescent="0.3">
      <c r="A39" s="22"/>
      <c r="B39" s="91" t="s">
        <v>52</v>
      </c>
      <c r="C39" s="95" t="s">
        <v>35</v>
      </c>
      <c r="D39" s="128">
        <v>45611</v>
      </c>
      <c r="E39" s="56" t="s">
        <v>19</v>
      </c>
      <c r="F39" s="57">
        <v>45597</v>
      </c>
      <c r="G39" s="57">
        <v>45604</v>
      </c>
      <c r="H39" s="13"/>
      <c r="I39" s="13">
        <f t="shared" si="138"/>
        <v>8</v>
      </c>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row>
    <row r="40" spans="1:107" s="3" customFormat="1" ht="15" customHeight="1" thickBot="1" x14ac:dyDescent="0.3">
      <c r="A40" s="22"/>
      <c r="B40" s="92"/>
      <c r="C40" s="94"/>
      <c r="D40" s="129"/>
      <c r="E40" s="56" t="s">
        <v>20</v>
      </c>
      <c r="F40" s="57"/>
      <c r="G40" s="57"/>
      <c r="H40" s="13"/>
      <c r="I40" s="13" t="str">
        <f t="shared" si="138"/>
        <v/>
      </c>
      <c r="J40" s="18"/>
      <c r="K40" s="18"/>
      <c r="L40" s="18"/>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row>
    <row r="41" spans="1:107" s="3" customFormat="1" ht="15" customHeight="1" x14ac:dyDescent="0.25">
      <c r="A41" s="22"/>
      <c r="B41" s="91" t="s">
        <v>53</v>
      </c>
      <c r="C41" s="95" t="s">
        <v>31</v>
      </c>
      <c r="D41" s="128" t="s">
        <v>38</v>
      </c>
      <c r="E41" s="56" t="s">
        <v>19</v>
      </c>
      <c r="F41" s="57">
        <v>45604</v>
      </c>
      <c r="G41" s="57">
        <v>45632</v>
      </c>
      <c r="H41" s="13"/>
      <c r="I41" s="13">
        <f t="shared" si="138"/>
        <v>29</v>
      </c>
      <c r="J41" s="18"/>
      <c r="K41" s="18"/>
      <c r="L41" s="18"/>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row>
    <row r="42" spans="1:107" s="3" customFormat="1" ht="15" customHeight="1" thickBot="1" x14ac:dyDescent="0.3">
      <c r="A42" s="22"/>
      <c r="B42" s="92"/>
      <c r="C42" s="94"/>
      <c r="D42" s="129"/>
      <c r="E42" s="56" t="s">
        <v>20</v>
      </c>
      <c r="F42" s="57"/>
      <c r="G42" s="57"/>
      <c r="H42" s="13"/>
      <c r="I42" s="13" t="str">
        <f t="shared" si="138"/>
        <v/>
      </c>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row>
    <row r="43" spans="1:107" s="3" customFormat="1" ht="30" customHeight="1" thickBot="1" x14ac:dyDescent="0.3">
      <c r="A43" s="22" t="s">
        <v>39</v>
      </c>
      <c r="B43" s="75" t="s">
        <v>54</v>
      </c>
      <c r="C43" s="70"/>
      <c r="D43" s="65"/>
      <c r="E43" s="58"/>
      <c r="F43" s="58"/>
      <c r="G43" s="58"/>
      <c r="H43" s="13"/>
      <c r="I43" s="13"/>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row>
    <row r="44" spans="1:107" s="3" customFormat="1" ht="15" customHeight="1" x14ac:dyDescent="0.25">
      <c r="A44" s="22"/>
      <c r="B44" s="85" t="s">
        <v>55</v>
      </c>
      <c r="C44" s="87" t="s">
        <v>31</v>
      </c>
      <c r="D44" s="96">
        <v>45646</v>
      </c>
      <c r="E44" s="59" t="s">
        <v>19</v>
      </c>
      <c r="F44" s="60">
        <v>45597</v>
      </c>
      <c r="G44" s="60">
        <v>45618</v>
      </c>
      <c r="H44" s="13"/>
      <c r="I44" s="13">
        <f t="shared" si="138"/>
        <v>22</v>
      </c>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row>
    <row r="45" spans="1:107" s="3" customFormat="1" ht="15" customHeight="1" thickBot="1" x14ac:dyDescent="0.3">
      <c r="A45" s="22"/>
      <c r="B45" s="89"/>
      <c r="C45" s="90"/>
      <c r="D45" s="97"/>
      <c r="E45" s="59" t="s">
        <v>20</v>
      </c>
      <c r="F45" s="60"/>
      <c r="G45" s="60"/>
      <c r="H45" s="13"/>
      <c r="I45" s="13" t="str">
        <f t="shared" si="138"/>
        <v/>
      </c>
      <c r="J45" s="18"/>
      <c r="K45" s="18"/>
      <c r="L45" s="18"/>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row>
    <row r="46" spans="1:107" s="3" customFormat="1" ht="15" customHeight="1" thickBot="1" x14ac:dyDescent="0.3">
      <c r="A46" s="22"/>
      <c r="B46" s="85" t="s">
        <v>56</v>
      </c>
      <c r="C46" s="87" t="s">
        <v>57</v>
      </c>
      <c r="D46" s="96">
        <v>45646</v>
      </c>
      <c r="E46" s="59" t="s">
        <v>19</v>
      </c>
      <c r="F46" s="60">
        <v>45555</v>
      </c>
      <c r="G46" s="60">
        <v>45646</v>
      </c>
      <c r="H46" s="13"/>
      <c r="I46" s="13">
        <f t="shared" si="138"/>
        <v>92</v>
      </c>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row>
    <row r="47" spans="1:107" s="3" customFormat="1" ht="15" customHeight="1" thickBot="1" x14ac:dyDescent="0.3">
      <c r="A47" s="22"/>
      <c r="B47" s="89"/>
      <c r="C47" s="90"/>
      <c r="D47" s="97"/>
      <c r="E47" s="59" t="s">
        <v>20</v>
      </c>
      <c r="F47" s="60"/>
      <c r="G47" s="60"/>
      <c r="H47" s="13"/>
      <c r="I47" s="13" t="str">
        <f t="shared" si="138"/>
        <v/>
      </c>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row>
    <row r="48" spans="1:107" s="3" customFormat="1" ht="15" customHeight="1" x14ac:dyDescent="0.25">
      <c r="A48" s="22"/>
      <c r="B48" s="85" t="s">
        <v>58</v>
      </c>
      <c r="C48" s="87" t="s">
        <v>31</v>
      </c>
      <c r="D48" s="96">
        <v>45646</v>
      </c>
      <c r="E48" s="59" t="s">
        <v>19</v>
      </c>
      <c r="F48" s="60">
        <v>45646</v>
      </c>
      <c r="G48" s="60">
        <v>45646</v>
      </c>
      <c r="H48" s="13"/>
      <c r="I48" s="13">
        <f t="shared" si="138"/>
        <v>1</v>
      </c>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row>
    <row r="49" spans="1:107" s="3" customFormat="1" ht="15" customHeight="1" thickBot="1" x14ac:dyDescent="0.3">
      <c r="A49" s="22"/>
      <c r="B49" s="86"/>
      <c r="C49" s="88"/>
      <c r="D49" s="97"/>
      <c r="E49" s="59" t="s">
        <v>20</v>
      </c>
      <c r="F49" s="60"/>
      <c r="G49" s="60"/>
      <c r="H49" s="13"/>
      <c r="I49" s="13" t="str">
        <f t="shared" si="138"/>
        <v/>
      </c>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row>
    <row r="50" spans="1:107" s="3" customFormat="1" ht="30" customHeight="1" thickBot="1" x14ac:dyDescent="0.3">
      <c r="A50" s="22" t="s">
        <v>59</v>
      </c>
      <c r="B50" s="28"/>
      <c r="C50" s="27"/>
      <c r="D50" s="27"/>
      <c r="E50" s="12"/>
      <c r="F50" s="31"/>
      <c r="G50" s="31"/>
      <c r="H50" s="13"/>
      <c r="I50" s="13" t="str">
        <f t="shared" si="138"/>
        <v/>
      </c>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row>
    <row r="51" spans="1:107" s="3" customFormat="1" ht="30" customHeight="1" thickBot="1" x14ac:dyDescent="0.3">
      <c r="A51" s="23" t="s">
        <v>60</v>
      </c>
      <c r="B51" s="14" t="s">
        <v>61</v>
      </c>
      <c r="C51" s="15"/>
      <c r="D51" s="15"/>
      <c r="E51" s="16"/>
      <c r="F51" s="32"/>
      <c r="G51" s="33"/>
      <c r="H51" s="17"/>
      <c r="I51" s="17" t="str">
        <f t="shared" si="138"/>
        <v/>
      </c>
      <c r="J51" s="20"/>
      <c r="K51" s="20"/>
      <c r="L51" s="20"/>
      <c r="M51" s="20"/>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c r="CA51" s="20"/>
      <c r="CB51" s="20"/>
      <c r="CC51" s="20"/>
      <c r="CD51" s="20"/>
      <c r="CE51" s="20"/>
      <c r="CF51" s="20"/>
      <c r="CG51" s="20"/>
      <c r="CH51" s="20"/>
      <c r="CI51" s="20"/>
      <c r="CJ51" s="20"/>
      <c r="CK51" s="20"/>
      <c r="CL51" s="20"/>
      <c r="CM51" s="20"/>
      <c r="CN51" s="20"/>
      <c r="CO51" s="20"/>
      <c r="CP51" s="20"/>
      <c r="CQ51" s="20"/>
      <c r="CR51" s="20"/>
      <c r="CS51" s="20"/>
      <c r="CT51" s="20"/>
      <c r="CU51" s="20"/>
      <c r="CV51" s="20"/>
      <c r="CW51" s="20"/>
      <c r="CX51" s="20"/>
      <c r="CY51" s="20"/>
      <c r="CZ51" s="20"/>
      <c r="DA51" s="20"/>
      <c r="DB51" s="20"/>
      <c r="DC51" s="20"/>
    </row>
    <row r="52" spans="1:107" ht="30" customHeight="1" x14ac:dyDescent="0.25">
      <c r="H52" s="6"/>
    </row>
    <row r="53" spans="1:107" ht="30" customHeight="1" x14ac:dyDescent="0.25">
      <c r="C53" s="10"/>
      <c r="D53" s="10"/>
      <c r="G53" s="24"/>
    </row>
    <row r="54" spans="1:107" ht="30" customHeight="1" x14ac:dyDescent="0.25">
      <c r="C54" s="11"/>
      <c r="D54" s="11"/>
    </row>
  </sheetData>
  <mergeCells count="74">
    <mergeCell ref="D17:D18"/>
    <mergeCell ref="D19:D20"/>
    <mergeCell ref="D46:D47"/>
    <mergeCell ref="D24:D25"/>
    <mergeCell ref="D26:D27"/>
    <mergeCell ref="D28:D29"/>
    <mergeCell ref="D30:D31"/>
    <mergeCell ref="D32:D33"/>
    <mergeCell ref="D21:D22"/>
    <mergeCell ref="D37:D38"/>
    <mergeCell ref="D39:D40"/>
    <mergeCell ref="D41:D42"/>
    <mergeCell ref="D44:D45"/>
    <mergeCell ref="CW3:DC3"/>
    <mergeCell ref="BN3:BT3"/>
    <mergeCell ref="BU3:CA3"/>
    <mergeCell ref="CB3:CH3"/>
    <mergeCell ref="CI3:CO3"/>
    <mergeCell ref="CP3:CV3"/>
    <mergeCell ref="AS3:AY3"/>
    <mergeCell ref="AZ3:BF3"/>
    <mergeCell ref="BG3:BM3"/>
    <mergeCell ref="F2:G2"/>
    <mergeCell ref="J3:P3"/>
    <mergeCell ref="Q3:W3"/>
    <mergeCell ref="X3:AD3"/>
    <mergeCell ref="AE3:AK3"/>
    <mergeCell ref="B14:B15"/>
    <mergeCell ref="C14:C15"/>
    <mergeCell ref="C2:E2"/>
    <mergeCell ref="C3:E3"/>
    <mergeCell ref="AL3:AR3"/>
    <mergeCell ref="D14:D15"/>
    <mergeCell ref="B8:B9"/>
    <mergeCell ref="C8:C9"/>
    <mergeCell ref="B10:B11"/>
    <mergeCell ref="C10:C11"/>
    <mergeCell ref="B12:B13"/>
    <mergeCell ref="C12:C13"/>
    <mergeCell ref="D8:D9"/>
    <mergeCell ref="D10:D11"/>
    <mergeCell ref="D12:D13"/>
    <mergeCell ref="B17:B18"/>
    <mergeCell ref="C17:C18"/>
    <mergeCell ref="B19:B20"/>
    <mergeCell ref="C19:C20"/>
    <mergeCell ref="B24:B25"/>
    <mergeCell ref="C24:C25"/>
    <mergeCell ref="B21:B22"/>
    <mergeCell ref="C21:C22"/>
    <mergeCell ref="B30:B31"/>
    <mergeCell ref="C30:C31"/>
    <mergeCell ref="B32:B33"/>
    <mergeCell ref="C32:C33"/>
    <mergeCell ref="B26:B27"/>
    <mergeCell ref="C26:C27"/>
    <mergeCell ref="B28:B29"/>
    <mergeCell ref="C28:C29"/>
    <mergeCell ref="B34:B35"/>
    <mergeCell ref="C34:C35"/>
    <mergeCell ref="D34:D35"/>
    <mergeCell ref="B48:B49"/>
    <mergeCell ref="C48:C49"/>
    <mergeCell ref="B44:B45"/>
    <mergeCell ref="C44:C45"/>
    <mergeCell ref="B46:B47"/>
    <mergeCell ref="C46:C47"/>
    <mergeCell ref="B37:B38"/>
    <mergeCell ref="C37:C38"/>
    <mergeCell ref="B39:B40"/>
    <mergeCell ref="C39:C40"/>
    <mergeCell ref="C41:C42"/>
    <mergeCell ref="B41:B42"/>
    <mergeCell ref="D48:D49"/>
  </mergeCells>
  <conditionalFormatting sqref="J4:DC51">
    <cfRule type="expression" dxfId="3" priority="17">
      <formula>AND(TODAY()&gt;=J$4,TODAY()&lt;K$4)</formula>
    </cfRule>
  </conditionalFormatting>
  <conditionalFormatting sqref="J6:DC51">
    <cfRule type="expression" dxfId="2" priority="1">
      <formula>$D6=J$4</formula>
    </cfRule>
    <cfRule type="expression" dxfId="1" priority="18">
      <formula>AND(task_end&gt;=J$4,task_start&lt;K$4,$E6=$G$6)</formula>
    </cfRule>
    <cfRule type="expression" dxfId="0" priority="52">
      <formula>AND(task_end&gt;=J$4,task_start&lt;K$4,$E6=$F$6)</formula>
    </cfRule>
  </conditionalFormatting>
  <dataValidations disablePrompts="1" count="1">
    <dataValidation type="whole" operator="greaterThanOrEqual" allowBlank="1" showInputMessage="1" promptTitle="Woche anzeigen" prompt="Das Ändern dieser Zahl bewirkt ein Scrollen in der Gantt-Diagrammansicht." sqref="F3" xr:uid="{00000000-0002-0000-0000-000000000000}">
      <formula1>1</formula1>
    </dataValidation>
  </dataValidations>
  <printOptions horizontalCentered="1"/>
  <pageMargins left="0.35" right="0.35" top="0.35" bottom="0.5" header="0.3" footer="0.3"/>
  <pageSetup paperSize="8" scale="53" fitToHeight="0" orientation="landscape" r:id="rId1"/>
  <headerFooter differentFirst="1" scaleWithDoc="0">
    <oddFooter>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d8d41c4-2d1a-4f79-aab5-2440921370ad" xsi:nil="true"/>
    <lcf76f155ced4ddcb4097134ff3c332f xmlns="21da7c7b-2a86-4dff-bdbf-913f324e8051">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E708E235B0E5CE4EBF02E35118BE8A61" ma:contentTypeVersion="12" ma:contentTypeDescription="Ein neues Dokument erstellen." ma:contentTypeScope="" ma:versionID="c9cf5307cf036da9aa5d5eb7826aa596">
  <xsd:schema xmlns:xsd="http://www.w3.org/2001/XMLSchema" xmlns:xs="http://www.w3.org/2001/XMLSchema" xmlns:p="http://schemas.microsoft.com/office/2006/metadata/properties" xmlns:ns2="21da7c7b-2a86-4dff-bdbf-913f324e8051" xmlns:ns3="3d8d41c4-2d1a-4f79-aab5-2440921370ad" targetNamespace="http://schemas.microsoft.com/office/2006/metadata/properties" ma:root="true" ma:fieldsID="cc1ee7d851c350a78eceaa91df4bcabc" ns2:_="" ns3:_="">
    <xsd:import namespace="21da7c7b-2a86-4dff-bdbf-913f324e8051"/>
    <xsd:import namespace="3d8d41c4-2d1a-4f79-aab5-2440921370a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1da7c7b-2a86-4dff-bdbf-913f324e805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19e3ed14-352d-4aa2-a63b-0b06d7ab5fe8" ma:termSetId="09814cd3-568e-fe90-9814-8d621ff8fb84" ma:anchorId="fba54fb3-c3e1-fe81-a776-ca4b69148c4d" ma:open="true" ma:isKeyword="false">
      <xsd:complexType>
        <xsd:sequence>
          <xsd:element ref="pc:Terms" minOccurs="0" maxOccurs="1"/>
        </xsd:sequence>
      </xsd:complex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d8d41c4-2d1a-4f79-aab5-2440921370ad"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5f98deea-ad7b-4f85-89c3-5eb06cd4979d}" ma:internalName="TaxCatchAll" ma:showField="CatchAllData" ma:web="3d8d41c4-2d1a-4f79-aab5-2440921370a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3d8d41c4-2d1a-4f79-aab5-2440921370ad"/>
    <ds:schemaRef ds:uri="21da7c7b-2a86-4dff-bdbf-913f324e8051"/>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34BE0F69-5617-44E2-9F76-316AC1DD72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1da7c7b-2a86-4dff-bdbf-913f324e8051"/>
    <ds:schemaRef ds:uri="3d8d41c4-2d1a-4f79-aab5-2440921370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Project plan</vt:lpstr>
      <vt:lpstr>Anzeigewoche</vt:lpstr>
      <vt:lpstr>'Project plan'!Drucktitel</vt:lpstr>
      <vt:lpstr>Projektanfang</vt:lpstr>
      <vt:lpstr>'Project plan'!task_end</vt:lpstr>
      <vt:lpstr>'Project plan'!task_progress</vt:lpstr>
      <vt:lpstr>'Project plan'!task_start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2023-02-24T09:08:59Z</dcterms:created>
  <dcterms:modified xsi:type="dcterms:W3CDTF">2025-10-06T10:49:26Z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0x010100E708E235B0E5CE4EBF02E35118BE8A61</vt:lpwstr>
  </property>
  <property fmtid="{D5CDD505-2E9C-101B-9397-08002B2CF9AE}" pid="3" name="MediaServiceImageTags">
    <vt:lpwstr/>
  </property>
</Properties>
</file>
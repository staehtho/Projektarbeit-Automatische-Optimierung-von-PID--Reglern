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E92265AB-B94E-4836-9AEE-D1CAE9E2FCD7}"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11" l="1"/>
  <c r="G34" i="11"/>
  <c r="G39" i="11"/>
  <c r="G40" i="11"/>
  <c r="G41" i="11"/>
  <c r="G25" i="11"/>
  <c r="G24" i="11"/>
  <c r="G13" i="11"/>
  <c r="G12" i="11"/>
  <c r="G29" i="11"/>
  <c r="G11" i="11" l="1"/>
  <c r="G15" i="11"/>
  <c r="G16" i="11"/>
  <c r="G19" i="11"/>
  <c r="G20" i="11"/>
  <c r="G22" i="11"/>
  <c r="G23" i="11"/>
  <c r="G26" i="11"/>
  <c r="G27" i="11"/>
  <c r="G30" i="11"/>
  <c r="G31" i="11"/>
  <c r="G32" i="11"/>
  <c r="G42" i="11"/>
  <c r="G8" i="11"/>
  <c r="G9" i="11"/>
  <c r="G10" i="11"/>
  <c r="G6" i="11"/>
  <c r="H4" i="11" l="1"/>
  <c r="H5" i="11" s="1"/>
  <c r="G44" i="11"/>
  <c r="G43"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<sst xmlns="http://schemas.openxmlformats.org/spreadsheetml/2006/main" count="78" uniqueCount="45">
  <si>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</si>
  <si>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</si>
  <si>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</si>
  <si>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</si>
  <si>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</si>
  <si>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</si>
  <si>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</si>
  <si>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</si>
  <si>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</si>
  <si>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</si>
  <si>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</si>
  <si>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</si>
  <si>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</si>
  <si>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</si>
  <si>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</si>
  <si>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</si>
  <si>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</si>
  <si>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</si>
  <si>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</si>
  <si>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</si>
  <si>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</si>
  <si>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</si>
  <si>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</si>
  <si>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</si>
  <si>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</si>
  <si>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</si>
  <si>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</si>
  <si>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</si>
  <si>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</si>
  <si>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</si>
  <si>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</si>
  <si>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</si>
  <si>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</si>
  <si>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</si>
  <si>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</si>
  <si>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</si>
  <si>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</si>
  <si>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</si>
  <si>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</si>
  <si>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</si>
  <si>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</si>
  <si>
    <t>Phase 5 PSO anwenden auf use-case</t>
  </si>
  <si>
    <t>Phase 6 Bericht schreiben</t>
  </si>
  <si>
    <t>PID-Parameter für Voice-Coil finden</t>
  </si>
  <si>
    <t>Parameter an echtem System testen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</si>
</sst>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174" fontId="8" fillId="0" borderId="3" xfId="9" applyNumberFormat="1">
      <alignment horizontal="center" vertical="center"/>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4" fontId="0" fillId="0" borderId="9" xfId="0" applyNumberFormat="1" applyBorder="1" applyAlignment="1">
      <alignment vertical="center"/>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6"/>
  <sheetViews>
    <sheetView showGridLines="0" tabSelected="1" showRuler="0" topLeftCell="B1" zoomScaleNormal="100" zoomScalePageLayoutView="70" workbookViewId="0">
      <pane ySplit="5" topLeftCell="A22" activePane="bottomLeft" state="frozen"/>
      <selection pane="bottomLeft" activeCell="AX36" sqref="AX36"/>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31</v>
      </c>
      <c r="D2" s="71">
        <v>45922</v>
      </c>
      <c r="E2" s="71"/>
    </row>
    <row r="3" spans="1:105" ht="30" customHeight="1" x14ac:dyDescent="0.25">
      <c r="A3" s="18" t="s">
        <v>2</v>
      </c>
      <c r="B3" s="59" t="s">
        <v>19</v>
      </c>
      <c r="C3" s="61" t="s">
        <v>32</v>
      </c>
      <c r="D3" s="6">
        <v>1</v>
      </c>
      <c r="H3" s="72">
        <f>H4</f>
        <v>45922</v>
      </c>
      <c r="I3" s="73"/>
      <c r="J3" s="73"/>
      <c r="K3" s="73"/>
      <c r="L3" s="73"/>
      <c r="M3" s="73"/>
      <c r="N3" s="74"/>
      <c r="O3" s="72">
        <f>O4</f>
        <v>45929</v>
      </c>
      <c r="P3" s="73"/>
      <c r="Q3" s="73"/>
      <c r="R3" s="73"/>
      <c r="S3" s="73"/>
      <c r="T3" s="73"/>
      <c r="U3" s="74"/>
      <c r="V3" s="72">
        <f t="shared" ref="V3" si="0">V4</f>
        <v>45936</v>
      </c>
      <c r="W3" s="73"/>
      <c r="X3" s="73"/>
      <c r="Y3" s="73"/>
      <c r="Z3" s="73"/>
      <c r="AA3" s="73"/>
      <c r="AB3" s="74"/>
      <c r="AC3" s="72">
        <f t="shared" ref="AC3" si="1">AC4</f>
        <v>45943</v>
      </c>
      <c r="AD3" s="73"/>
      <c r="AE3" s="73"/>
      <c r="AF3" s="73"/>
      <c r="AG3" s="73"/>
      <c r="AH3" s="73"/>
      <c r="AI3" s="74"/>
      <c r="AJ3" s="72">
        <f t="shared" ref="AJ3" si="2">AJ4</f>
        <v>45950</v>
      </c>
      <c r="AK3" s="73"/>
      <c r="AL3" s="73"/>
      <c r="AM3" s="73"/>
      <c r="AN3" s="73"/>
      <c r="AO3" s="73"/>
      <c r="AP3" s="74"/>
      <c r="AQ3" s="72">
        <f t="shared" ref="AQ3" si="3">AQ4</f>
        <v>45957</v>
      </c>
      <c r="AR3" s="73"/>
      <c r="AS3" s="73"/>
      <c r="AT3" s="73"/>
      <c r="AU3" s="73"/>
      <c r="AV3" s="73"/>
      <c r="AW3" s="74"/>
      <c r="AX3" s="72">
        <f t="shared" ref="AX3" si="4">AX4</f>
        <v>45964</v>
      </c>
      <c r="AY3" s="73"/>
      <c r="AZ3" s="73"/>
      <c r="BA3" s="73"/>
      <c r="BB3" s="73"/>
      <c r="BC3" s="73"/>
      <c r="BD3" s="74"/>
      <c r="BE3" s="72">
        <f t="shared" ref="BE3" si="5">BE4</f>
        <v>45971</v>
      </c>
      <c r="BF3" s="73"/>
      <c r="BG3" s="73"/>
      <c r="BH3" s="73"/>
      <c r="BI3" s="73"/>
      <c r="BJ3" s="73"/>
      <c r="BK3" s="74"/>
      <c r="BL3" s="72">
        <f t="shared" ref="BL3" si="6">BL4</f>
        <v>45978</v>
      </c>
      <c r="BM3" s="73"/>
      <c r="BN3" s="73"/>
      <c r="BO3" s="73"/>
      <c r="BP3" s="73"/>
      <c r="BQ3" s="73"/>
      <c r="BR3" s="74"/>
      <c r="BS3" s="72">
        <f t="shared" ref="BS3" si="7">BS4</f>
        <v>45985</v>
      </c>
      <c r="BT3" s="73"/>
      <c r="BU3" s="73"/>
      <c r="BV3" s="73"/>
      <c r="BW3" s="73"/>
      <c r="BX3" s="73"/>
      <c r="BY3" s="74"/>
      <c r="BZ3" s="72">
        <f t="shared" ref="BZ3" si="8">BZ4</f>
        <v>45992</v>
      </c>
      <c r="CA3" s="73"/>
      <c r="CB3" s="73"/>
      <c r="CC3" s="73"/>
      <c r="CD3" s="73"/>
      <c r="CE3" s="73"/>
      <c r="CF3" s="74"/>
      <c r="CG3" s="72">
        <f t="shared" ref="CG3" si="9">CG4</f>
        <v>45999</v>
      </c>
      <c r="CH3" s="73"/>
      <c r="CI3" s="73"/>
      <c r="CJ3" s="73"/>
      <c r="CK3" s="73"/>
      <c r="CL3" s="73"/>
      <c r="CM3" s="74"/>
      <c r="CN3" s="72">
        <f t="shared" ref="CN3" si="10">CN4</f>
        <v>46006</v>
      </c>
      <c r="CO3" s="73"/>
      <c r="CP3" s="73"/>
      <c r="CQ3" s="73"/>
      <c r="CR3" s="73"/>
      <c r="CS3" s="73"/>
      <c r="CT3" s="74"/>
      <c r="CU3" s="72">
        <f t="shared" ref="CU3" si="11">CU4</f>
        <v>46013</v>
      </c>
      <c r="CV3" s="73"/>
      <c r="CW3" s="73"/>
      <c r="CX3" s="73"/>
      <c r="CY3" s="73"/>
      <c r="CZ3" s="73"/>
      <c r="DA3" s="74"/>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34</v>
      </c>
      <c r="E6" t="s">
        <v>35</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44"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75" t="s">
        <v>26</v>
      </c>
      <c r="C8" s="35" t="s">
        <v>34</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76"/>
      <c r="C9" s="35" t="s">
        <v>35</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75" t="s">
        <v>36</v>
      </c>
      <c r="C10" s="35" t="s">
        <v>34</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76"/>
      <c r="C11" s="35" t="s">
        <v>35</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75" t="s">
        <v>33</v>
      </c>
      <c r="C12" s="35" t="s">
        <v>34</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76"/>
      <c r="C13" s="35" t="s">
        <v>35</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9" t="s">
        <v>39</v>
      </c>
      <c r="C15" s="58" t="s">
        <v>34</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70"/>
      <c r="C16" s="58" t="s">
        <v>35</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9" t="s">
        <v>38</v>
      </c>
      <c r="C17" s="58" t="s">
        <v>34</v>
      </c>
      <c r="D17" s="39">
        <v>45943</v>
      </c>
      <c r="E17" s="39">
        <v>45956</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70"/>
      <c r="C18" s="58" t="s">
        <v>35</v>
      </c>
      <c r="D18" s="39">
        <v>45936</v>
      </c>
      <c r="E18" s="39">
        <v>45952</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9" t="s">
        <v>37</v>
      </c>
      <c r="C19" s="58" t="s">
        <v>34</v>
      </c>
      <c r="D19" s="39">
        <v>45943</v>
      </c>
      <c r="E19" s="39">
        <v>45956</v>
      </c>
      <c r="F19" s="10"/>
      <c r="G19" s="10">
        <f t="shared" si="48"/>
        <v>14</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70"/>
      <c r="C20" s="58" t="s">
        <v>35</v>
      </c>
      <c r="D20" s="39">
        <v>45936</v>
      </c>
      <c r="E20" s="39">
        <v>45952</v>
      </c>
      <c r="F20" s="10"/>
      <c r="G20" s="10">
        <f t="shared" si="48"/>
        <v>17</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62" t="s">
        <v>40</v>
      </c>
      <c r="C22" s="43" t="s">
        <v>34</v>
      </c>
      <c r="D22" s="44">
        <v>45957</v>
      </c>
      <c r="E22" s="44">
        <v>45963</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63"/>
      <c r="C23" s="43" t="s">
        <v>35</v>
      </c>
      <c r="D23" s="44">
        <v>45951</v>
      </c>
      <c r="E23" s="44">
        <v>45957</v>
      </c>
      <c r="F23" s="10"/>
      <c r="G23" s="10">
        <f t="shared" si="48"/>
        <v>7</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62" t="s">
        <v>27</v>
      </c>
      <c r="C24" s="43" t="s">
        <v>34</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63"/>
      <c r="C25" s="43" t="s">
        <v>35</v>
      </c>
      <c r="D25" s="44">
        <v>45953</v>
      </c>
      <c r="E25" s="44">
        <v>45963</v>
      </c>
      <c r="F25" s="10"/>
      <c r="G25" s="10">
        <f t="shared" si="48"/>
        <v>11</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62" t="s">
        <v>28</v>
      </c>
      <c r="C26" s="43" t="s">
        <v>34</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63"/>
      <c r="C27" s="43" t="s">
        <v>35</v>
      </c>
      <c r="D27" s="44">
        <v>45953</v>
      </c>
      <c r="E27" s="44">
        <v>45963</v>
      </c>
      <c r="F27" s="10"/>
      <c r="G27" s="10">
        <f t="shared" si="48"/>
        <v>11</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67" t="s">
        <v>29</v>
      </c>
      <c r="C29" s="48" t="s">
        <v>34</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68"/>
      <c r="C30" s="48" t="s">
        <v>35</v>
      </c>
      <c r="D30" s="49">
        <v>45964</v>
      </c>
      <c r="E30" s="49">
        <v>45977</v>
      </c>
      <c r="F30" s="10"/>
      <c r="G30" s="10">
        <f t="shared" si="48"/>
        <v>14</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77"/>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67" t="s">
        <v>30</v>
      </c>
      <c r="C31" s="48" t="s">
        <v>34</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68"/>
      <c r="C32" s="48" t="s">
        <v>35</v>
      </c>
      <c r="D32" s="49">
        <v>45971</v>
      </c>
      <c r="E32" s="49">
        <v>45984</v>
      </c>
      <c r="F32" s="10"/>
      <c r="G32" s="10">
        <f t="shared" si="48"/>
        <v>14</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8" t="s">
        <v>13</v>
      </c>
      <c r="B33" s="54" t="s">
        <v>41</v>
      </c>
      <c r="C33" s="36"/>
      <c r="D33" s="37"/>
      <c r="E33" s="38"/>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8"/>
      <c r="B34" s="69" t="s">
        <v>43</v>
      </c>
      <c r="C34" s="58" t="s">
        <v>34</v>
      </c>
      <c r="D34" s="39">
        <v>45992</v>
      </c>
      <c r="E34" s="39">
        <v>45998</v>
      </c>
      <c r="F34" s="10"/>
      <c r="G34" s="10">
        <f t="shared" si="48"/>
        <v>7</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8"/>
      <c r="B35" s="70"/>
      <c r="C35" s="58" t="s">
        <v>35</v>
      </c>
      <c r="D35" s="39"/>
      <c r="E35" s="39"/>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8"/>
      <c r="B36" s="69" t="s">
        <v>44</v>
      </c>
      <c r="C36" s="58" t="s">
        <v>34</v>
      </c>
      <c r="D36" s="39">
        <v>45992</v>
      </c>
      <c r="E36" s="39">
        <v>45998</v>
      </c>
      <c r="F36" s="10"/>
      <c r="G36" s="10"/>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8"/>
      <c r="B37" s="70"/>
      <c r="C37" s="58" t="s">
        <v>35</v>
      </c>
      <c r="D37" s="39"/>
      <c r="E37" s="39"/>
      <c r="F37" s="10"/>
      <c r="G37" s="10"/>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14</v>
      </c>
      <c r="B38" s="57" t="s">
        <v>42</v>
      </c>
      <c r="C38" s="50"/>
      <c r="D38" s="50"/>
      <c r="E38" s="50"/>
      <c r="F38" s="10"/>
      <c r="G38" s="10"/>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15" customHeight="1" thickBot="1" x14ac:dyDescent="0.3">
      <c r="A39" s="17"/>
      <c r="B39" s="64" t="s">
        <v>24</v>
      </c>
      <c r="C39" s="51" t="s">
        <v>34</v>
      </c>
      <c r="D39" s="52">
        <v>45971</v>
      </c>
      <c r="E39" s="52">
        <v>46010</v>
      </c>
      <c r="F39" s="10"/>
      <c r="G39" s="10">
        <f t="shared" si="48"/>
        <v>40</v>
      </c>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row>
    <row r="40" spans="1:105" s="2" customFormat="1" ht="15" customHeight="1" thickBot="1" x14ac:dyDescent="0.3">
      <c r="A40" s="17"/>
      <c r="B40" s="66"/>
      <c r="C40" s="51" t="s">
        <v>35</v>
      </c>
      <c r="D40" s="52"/>
      <c r="E40" s="52"/>
      <c r="F40" s="10"/>
      <c r="G40" s="10" t="str">
        <f t="shared" si="48"/>
        <v/>
      </c>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c r="CM40" s="14"/>
      <c r="CN40" s="14"/>
      <c r="CO40" s="14"/>
      <c r="CP40" s="14"/>
      <c r="CQ40" s="14"/>
      <c r="CR40" s="14"/>
      <c r="CS40" s="14"/>
      <c r="CT40" s="14"/>
      <c r="CU40" s="14"/>
      <c r="CV40" s="14"/>
      <c r="CW40" s="14"/>
      <c r="CX40" s="14"/>
      <c r="CY40" s="14"/>
      <c r="CZ40" s="14"/>
      <c r="DA40" s="14"/>
    </row>
    <row r="41" spans="1:105" s="2" customFormat="1" ht="15" customHeight="1" thickBot="1" x14ac:dyDescent="0.3">
      <c r="A41" s="17"/>
      <c r="B41" s="64" t="s">
        <v>25</v>
      </c>
      <c r="C41" s="51" t="s">
        <v>34</v>
      </c>
      <c r="D41" s="52">
        <v>46010</v>
      </c>
      <c r="E41" s="52">
        <v>46010</v>
      </c>
      <c r="F41" s="10"/>
      <c r="G41" s="10">
        <f t="shared" si="48"/>
        <v>1</v>
      </c>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row>
    <row r="42" spans="1:105" s="2" customFormat="1" ht="15" customHeight="1" thickBot="1" x14ac:dyDescent="0.3">
      <c r="A42" s="17"/>
      <c r="B42" s="65"/>
      <c r="C42" s="51" t="s">
        <v>35</v>
      </c>
      <c r="D42" s="52"/>
      <c r="E42" s="52"/>
      <c r="F42" s="10"/>
      <c r="G42" s="10" t="str">
        <f t="shared" si="48"/>
        <v/>
      </c>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c r="CM42" s="14"/>
      <c r="CN42" s="14"/>
      <c r="CO42" s="14"/>
      <c r="CP42" s="14"/>
      <c r="CQ42" s="14"/>
      <c r="CR42" s="14"/>
      <c r="CS42" s="14"/>
      <c r="CT42" s="14"/>
      <c r="CU42" s="14"/>
      <c r="CV42" s="14"/>
      <c r="CW42" s="14"/>
      <c r="CX42" s="14"/>
      <c r="CY42" s="14"/>
      <c r="CZ42" s="14"/>
      <c r="DA42" s="14"/>
    </row>
    <row r="43" spans="1:105" s="2" customFormat="1" ht="30" customHeight="1" thickBot="1" x14ac:dyDescent="0.3">
      <c r="A43" s="17" t="s">
        <v>15</v>
      </c>
      <c r="B43" s="21"/>
      <c r="C43" s="9"/>
      <c r="D43" s="24"/>
      <c r="E43" s="24"/>
      <c r="F43" s="10"/>
      <c r="G43" s="10" t="str">
        <f t="shared" si="48"/>
        <v/>
      </c>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c r="CM43" s="14"/>
      <c r="CN43" s="14"/>
      <c r="CO43" s="14"/>
      <c r="CP43" s="14"/>
      <c r="CQ43" s="14"/>
      <c r="CR43" s="14"/>
      <c r="CS43" s="14"/>
      <c r="CT43" s="14"/>
      <c r="CU43" s="14"/>
      <c r="CV43" s="14"/>
      <c r="CW43" s="14"/>
      <c r="CX43" s="14"/>
      <c r="CY43" s="14"/>
      <c r="CZ43" s="14"/>
      <c r="DA43" s="14"/>
    </row>
    <row r="44" spans="1:105" s="2" customFormat="1" ht="30" customHeight="1" thickBot="1" x14ac:dyDescent="0.3">
      <c r="A44" s="18" t="s">
        <v>16</v>
      </c>
      <c r="B44" s="11" t="s">
        <v>17</v>
      </c>
      <c r="C44" s="12"/>
      <c r="D44" s="25"/>
      <c r="E44" s="26"/>
      <c r="F44" s="13"/>
      <c r="G44" s="13" t="str">
        <f t="shared" si="48"/>
        <v/>
      </c>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row>
    <row r="45" spans="1:105" ht="30" customHeight="1" x14ac:dyDescent="0.25">
      <c r="F45" s="5"/>
    </row>
    <row r="46" spans="1:105" ht="30" customHeight="1" x14ac:dyDescent="0.25">
      <c r="E46" s="19"/>
    </row>
  </sheetData>
  <mergeCells count="30">
    <mergeCell ref="AQ3:AW3"/>
    <mergeCell ref="AX3:BD3"/>
    <mergeCell ref="BE3:BK3"/>
    <mergeCell ref="B15:B16"/>
    <mergeCell ref="B19:B20"/>
    <mergeCell ref="AJ3:AP3"/>
    <mergeCell ref="B8:B9"/>
    <mergeCell ref="B10:B11"/>
    <mergeCell ref="B12:B13"/>
    <mergeCell ref="B17:B18"/>
    <mergeCell ref="CU3:DA3"/>
    <mergeCell ref="BL3:BR3"/>
    <mergeCell ref="BS3:BY3"/>
    <mergeCell ref="BZ3:CF3"/>
    <mergeCell ref="CG3:CM3"/>
    <mergeCell ref="CN3:CT3"/>
    <mergeCell ref="D2:E2"/>
    <mergeCell ref="H3:N3"/>
    <mergeCell ref="O3:U3"/>
    <mergeCell ref="V3:AB3"/>
    <mergeCell ref="AC3:AI3"/>
    <mergeCell ref="B24:B25"/>
    <mergeCell ref="B22:B23"/>
    <mergeCell ref="B41:B42"/>
    <mergeCell ref="B39:B40"/>
    <mergeCell ref="B29:B30"/>
    <mergeCell ref="B31:B32"/>
    <mergeCell ref="B26:B27"/>
    <mergeCell ref="B34:B35"/>
    <mergeCell ref="B36:B37"/>
  </mergeCells>
  <conditionalFormatting sqref="H4:DA44">
    <cfRule type="expression" dxfId="3" priority="17">
      <formula>AND(TODAY()&gt;=H$4,TODAY()&lt;I$4)</formula>
    </cfRule>
  </conditionalFormatting>
  <conditionalFormatting sqref="H6:DA44">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disablePrompts="1"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2025-11-17T11:28:16Z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
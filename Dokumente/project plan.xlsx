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xr:revisionPtr revIDLastSave="0" documentId="13_ncr:1_{1C5F0AAE-2FB0-447E-9C73-262AC1D7CC2D}" xr6:coauthVersionLast="47" xr6:coauthVersionMax="47" xr10:uidLastSave="{00000000-0000-0000-0000-000000000000}"/>
  <bookViews>
    <workbookView xWindow="-120" yWindow="-120" windowWidth="29040" windowHeight="15720" xr2:uid="{00000000-000D-0000-FFFF-FFFF00000000}"/>
  </bookViews>
  <sheets>
    <sheet name="Project plan" sheetId="11" r:id="rId1"/>
  </sheets>
  <definedNames>
    <definedName name="Anzeigewoche">'Project plan'!$D$3</definedName>
    <definedName name="_xlnm.Print_Titles" localSheetId="0">'Project plan'!$3:$5</definedName>
    <definedName name="Heute" localSheetId="0">TODAY()</definedName>
    <definedName name="Projektanfang">'Project plan'!$D$2</definedName>
    <definedName name="task_end" localSheetId="0">'Project plan'!$E1</definedName>
    <definedName name="task_progress" localSheetId="0">'Project plan'!$C1</definedName>
    <definedName name="task_start" localSheetId="0">'Project plan'!$D1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1" l="1"/>
  <c r="G24" i="11"/>
  <c r="G13" i="11"/>
  <c r="G12" i="11"/>
  <c r="G29" i="11"/>
  <c r="G11" i="11" l="1"/>
  <c r="G15" i="11"/>
  <c r="G16" i="11"/>
  <c r="G19" i="11"/>
  <c r="G20" i="11"/>
  <c r="G22" i="11"/>
  <c r="G23" i="11"/>
  <c r="G26" i="11"/>
  <c r="G27" i="11"/>
  <c r="G30" i="11"/>
  <c r="G31" i="11"/>
  <c r="G32" i="11"/>
  <c r="G34" i="11"/>
  <c r="G35" i="11"/>
  <c r="G36" i="11"/>
  <c r="G37" i="11"/>
  <c r="G8" i="11"/>
  <c r="G9" i="11"/>
  <c r="G10" i="11"/>
  <c r="G6" i="11"/>
  <c r="H4" i="11" l="1"/>
  <c r="H5" i="11" s="1"/>
  <c r="G39" i="11"/>
  <c r="G38" i="11"/>
  <c r="G7" i="11"/>
  <c r="I4" i="11" l="1"/>
  <c r="I5" i="11" s="1"/>
  <c r="H3" i="11"/>
  <c r="J4" i="11" l="1"/>
  <c r="J5" i="11" s="1"/>
  <c r="K4" i="11" l="1"/>
  <c r="K5" i="11" s="1"/>
  <c r="L4" i="11" l="1"/>
  <c r="L5" i="11" s="1"/>
  <c r="M4" i="11" l="1"/>
  <c r="M5" i="11" s="1"/>
  <c r="N4" i="11" l="1"/>
  <c r="N5" i="11" s="1"/>
  <c r="O4" i="11" l="1"/>
  <c r="O5" i="11" s="1"/>
  <c r="O3" i="11" l="1"/>
  <c r="P4" i="11"/>
  <c r="P5" i="11" s="1"/>
  <c r="Q4" i="11" l="1"/>
  <c r="Q5" i="11" s="1"/>
  <c r="R4" i="11" l="1"/>
  <c r="R5" i="11" s="1"/>
  <c r="S4" i="11" l="1"/>
  <c r="S5" i="11" s="1"/>
  <c r="T4" i="11" l="1"/>
  <c r="T5" i="11" s="1"/>
  <c r="U4" i="11" l="1"/>
  <c r="U5" i="11" s="1"/>
  <c r="V4" i="11" l="1"/>
  <c r="V5" i="11" s="1"/>
  <c r="V3" i="11" l="1"/>
  <c r="W4" i="11"/>
  <c r="W5" i="11" s="1"/>
  <c r="X4" i="11" l="1"/>
  <c r="X5" i="11" s="1"/>
  <c r="Y4" i="11" l="1"/>
  <c r="Y5" i="11" s="1"/>
  <c r="Z4" i="11" l="1"/>
  <c r="Z5" i="11" s="1"/>
  <c r="AA4" i="11" l="1"/>
  <c r="AA5" i="11" s="1"/>
  <c r="AB4" i="11" l="1"/>
  <c r="AB5" i="11" s="1"/>
  <c r="AC4" i="11" l="1"/>
  <c r="AC5" i="11" s="1"/>
  <c r="AC3" i="11" l="1"/>
  <c r="AD4" i="11"/>
  <c r="AD5" i="11" s="1"/>
  <c r="AE4" i="11" l="1"/>
  <c r="AE5" i="11" s="1"/>
  <c r="AF4" i="11" l="1"/>
  <c r="AF5" i="11" s="1"/>
  <c r="AG4" i="11" l="1"/>
  <c r="AG5" i="11" s="1"/>
  <c r="AH4" i="11" l="1"/>
  <c r="AH5" i="11" s="1"/>
  <c r="AI4" i="11" l="1"/>
  <c r="AI5" i="11" s="1"/>
  <c r="AJ4" i="11" l="1"/>
  <c r="AJ5" i="11" s="1"/>
  <c r="AJ3" i="11" l="1"/>
  <c r="AK4" i="11"/>
  <c r="AK5" i="11" s="1"/>
  <c r="AL4" i="11" l="1"/>
  <c r="AL5" i="11" s="1"/>
  <c r="AM4" i="11" l="1"/>
  <c r="AM5" i="11" s="1"/>
  <c r="AN4" i="11" l="1"/>
  <c r="AN5" i="11" s="1"/>
  <c r="AO4" i="11" l="1"/>
  <c r="AO5" i="11" s="1"/>
  <c r="AP4" i="11" l="1"/>
  <c r="AP5" i="11" s="1"/>
  <c r="AQ4" i="11" l="1"/>
  <c r="AQ5" i="11" s="1"/>
  <c r="AQ3" i="11" l="1"/>
  <c r="AR4" i="11"/>
  <c r="AR5" i="11" s="1"/>
  <c r="AS4" i="11" l="1"/>
  <c r="AS5" i="11" s="1"/>
  <c r="AT4" i="11" l="1"/>
  <c r="AT5" i="11" s="1"/>
  <c r="AU4" i="11" l="1"/>
  <c r="AU5" i="11" s="1"/>
  <c r="AV4" i="11" l="1"/>
  <c r="AV5" i="11" s="1"/>
  <c r="AW4" i="11" l="1"/>
  <c r="AW5" i="11" s="1"/>
  <c r="AX4" i="11" l="1"/>
  <c r="AX5" i="11" s="1"/>
  <c r="AX3" i="11" l="1"/>
  <c r="AY4" i="11"/>
  <c r="AY5" i="11" s="1"/>
  <c r="AZ4" i="11" l="1"/>
  <c r="AZ5" i="11" s="1"/>
  <c r="BA4" i="11" l="1"/>
  <c r="BA5" i="11" s="1"/>
  <c r="BB4" i="11" l="1"/>
  <c r="BB5" i="11" s="1"/>
  <c r="BC4" i="11" l="1"/>
  <c r="BC5" i="11" s="1"/>
  <c r="BD4" i="11" l="1"/>
  <c r="BD5" i="11" s="1"/>
  <c r="BE4" i="11" l="1"/>
  <c r="BE5" i="11" s="1"/>
  <c r="BE3" i="11" l="1"/>
  <c r="BF4" i="11"/>
  <c r="BF5" i="11" s="1"/>
  <c r="BG4" i="11" l="1"/>
  <c r="BG5" i="11" s="1"/>
  <c r="BH4" i="11" l="1"/>
  <c r="BH5" i="11" s="1"/>
  <c r="BI4" i="11" l="1"/>
  <c r="BI5" i="11" s="1"/>
  <c r="BJ4" i="11" l="1"/>
  <c r="BJ5" i="11" s="1"/>
  <c r="BK4" i="11" l="1"/>
  <c r="BK5" i="11" s="1"/>
  <c r="BL4" i="11" l="1"/>
  <c r="BL5" i="11" s="1"/>
  <c r="BL3" i="11" l="1"/>
  <c r="BM4" i="11"/>
  <c r="BM5" i="11" s="1"/>
  <c r="BN4" i="11" l="1"/>
  <c r="BN5" i="11" s="1"/>
  <c r="BO4" i="11" l="1"/>
  <c r="BO5" i="11" s="1"/>
  <c r="BP4" i="11" l="1"/>
  <c r="BP5" i="11" s="1"/>
  <c r="BQ4" i="11" l="1"/>
  <c r="BQ5" i="11" s="1"/>
  <c r="BR4" i="11" l="1"/>
  <c r="BR5" i="11" s="1"/>
  <c r="BS4" i="11" l="1"/>
  <c r="BS5" i="11" s="1"/>
  <c r="BS3" i="11" l="1"/>
  <c r="BT4" i="11"/>
  <c r="BT5" i="11" s="1"/>
  <c r="BU4" i="11" l="1"/>
  <c r="BU5" i="11" s="1"/>
  <c r="BV4" i="11" l="1"/>
  <c r="BV5" i="11" s="1"/>
  <c r="BW4" i="11" l="1"/>
  <c r="BW5" i="11" s="1"/>
  <c r="BX4" i="11" l="1"/>
  <c r="BX5" i="11" s="1"/>
  <c r="BY4" i="11" l="1"/>
  <c r="BY5" i="11" s="1"/>
  <c r="BZ4" i="11" l="1"/>
  <c r="BZ5" i="11" s="1"/>
  <c r="BZ3" i="11" l="1"/>
  <c r="CA4" i="11"/>
  <c r="CA5" i="11" s="1"/>
  <c r="CB4" i="11" l="1"/>
  <c r="CB5" i="11" s="1"/>
  <c r="CC4" i="11" l="1"/>
  <c r="CC5" i="11" s="1"/>
  <c r="CD4" i="11" l="1"/>
  <c r="CD5" i="11" s="1"/>
  <c r="CE4" i="11" l="1"/>
  <c r="CE5" i="11" s="1"/>
  <c r="CF4" i="11" l="1"/>
  <c r="CF5" i="11" s="1"/>
  <c r="CG4" i="11" l="1"/>
  <c r="CG5" i="11" s="1"/>
  <c r="CG3" i="11" l="1"/>
  <c r="CH4" i="11"/>
  <c r="CH5" i="11" s="1"/>
  <c r="CI4" i="11" l="1"/>
  <c r="CI5" i="11" s="1"/>
  <c r="CJ4" i="11" l="1"/>
  <c r="CJ5" i="11" s="1"/>
  <c r="CK4" i="11" l="1"/>
  <c r="CK5" i="11" s="1"/>
  <c r="CL4" i="11" l="1"/>
  <c r="CL5" i="11" s="1"/>
  <c r="CM4" i="11" l="1"/>
  <c r="CM5" i="11" s="1"/>
  <c r="CN4" i="11" l="1"/>
  <c r="CN5" i="11" s="1"/>
  <c r="CN3" i="11" l="1"/>
  <c r="CO4" i="11"/>
  <c r="CO5" i="11" s="1"/>
  <c r="CP4" i="11" l="1"/>
  <c r="CP5" i="11" s="1"/>
  <c r="CQ4" i="11" l="1"/>
  <c r="CQ5" i="11" s="1"/>
  <c r="CR4" i="11" l="1"/>
  <c r="CR5" i="11" s="1"/>
  <c r="CS4" i="11" l="1"/>
  <c r="CS5" i="11" s="1"/>
  <c r="CT4" i="11" l="1"/>
  <c r="CT5" i="11" s="1"/>
  <c r="CU4" i="11" l="1"/>
  <c r="CU5" i="11" s="1"/>
  <c r="CU3" i="11" l="1"/>
  <c r="CV4" i="11"/>
  <c r="CV5" i="11" s="1"/>
  <c r="CW4" i="11" l="1"/>
  <c r="CW5" i="11" s="1"/>
  <c r="CX4" i="11" l="1"/>
  <c r="CX5" i="11" s="1"/>
  <c r="CY4" i="11" l="1"/>
  <c r="CY5" i="11" s="1"/>
  <c r="CZ4" i="11" l="1"/>
  <c r="CZ5" i="11" s="1"/>
  <c r="DA4" i="11" l="1"/>
  <c r="DA5" i="11" s="1"/>
</calcChain>
</file>

<file path=xl/sharedStrings.xml><?xml version="1.0" encoding="utf-8"?>
<sst xmlns="http://schemas.openxmlformats.org/spreadsheetml/2006/main" count="70" uniqueCount="42">
  <si>
    <t>Erstellen Sie auf diesem Arbeitsblatt einen Projektplan.
Geben Sie den Titel dieses Projekts in Zelle B1 ein. 
Informationen zur Verwendung dieses Arbeitsblatts, einschließlich Anweisungen für die Sprachausgabe und den Verfasser dieser Arbeitsmappe, finden Sie auf dem Arbeitsblatt "Info".
Navigieren Sie weiterhin in Spalte A abwärts, um weitere Anweisungen zu hören.</t>
  </si>
  <si>
    <t>Geben Sie den Namen des Projektleiters in Zelle B3 ein. Geben Sie das Startdatum für das Projekt in Zelle E3 ein. Start des Projekts: Die Bezeichnung steht in Zelle C3.</t>
  </si>
  <si>
    <t>Die Anzeigewoche in Zelle E4 stellt die Anfangswoche dar, die im Projektplan in Zelle I4 angezeigt werden soll. Das Startdatum des Projekts wird als Woche 1 betrachtet. Um die Anzeigewoche zu ändern, geben Sie einfach eine neue Wochennummer in Zelle E4 ein.
Das Startdatum für jede Woche, beginnend mit der Anzeigewoche aus Zelle E4, beginnt in Zelle I4 und wird automatisch berechnet. In dieser Ansicht werden 8 Wochen von Zelle I4 bis Zelle BF4 dargestellt.
Ändern Sie diese Zellen nicht.
Anzeigewoche: Die Bezeichnung steht in Zelle C4.</t>
  </si>
  <si>
    <t>Die Zellen I5 bis BL5 enthalten die Tagesnummer der Woche für die im Zellenblock oberhalb der einzelnen Datumszellen angezeigten Woche und werden automatisch berechnet.
Ändern Sie diese Zellen nicht.
Das heutige Datum ist rot (Hex #AD3815) hervorgehoben, vom aktuellen Datum in Zeile 5 die gesamte Datumsspalte hindurch bis zum Ende des Projektplans.</t>
  </si>
  <si>
    <t>Diese Zeile enthält Überschriften für den Projektplan, der darunter dargestellt ist. 
Navigieren Sie von B6 bis BL6, um sich die Inhalte vorsprechen zu lassen. Der erste Buchstabe jedes Tags der Woche für das Datum oberhalb der Überschrift, beginnend in Zelle I6 und fortlaufend bis Zelle BL6.
Alle Projektzeitachsendiagramme werden automatisch basierend auf den eingegebenen Start- und Enddaten mithilfe von bedingten Formaten generiert.
Ändern Sie die Inhalte in den Zellen in Spalten nach Spalte I beginnend mit Zelle I7 nicht.</t>
  </si>
  <si>
    <t>TASK</t>
  </si>
  <si>
    <t>SHOULD / IS</t>
  </si>
  <si>
    <t>START</t>
  </si>
  <si>
    <t>END</t>
  </si>
  <si>
    <t>TAGE</t>
  </si>
  <si>
    <t xml:space="preserve">Löschen Sie diese Zeile nicht. Diese Zeile ist ausgeblendet, um eine Formel zu schützen, die zum Hervorheben des aktuellen Tags im Projektzeitplan verwendet wird. </t>
  </si>
  <si>
    <t>Zelle B8 enthält den Beispieltitel „Phase 1“. 
Geben Sie in Zelle B8 einen neuen Titel ein.
Geben Sie in Zelle C8 einen Namen ein, der der Phase zugewiesen wird, wenn diese für Ihr Projekt zutrifft.
Geben Sie in Zelle D8 den Fortschritt für die gesamte Phase ein, wenn diese für Ihr Projekt zutrifft.
Geben Sie in den Zellen E8 und F8 das Start- und Enddatum für die gesamte Phase ein, wenn diese für Ihr Projekt zutrifft. 
Das Gantt-Diagramm füllt automatisch die entsprechenden Daten und die entsprechende Schattierung entsprechend dem eingegebenen Fortschritt aus.
Um die Phase zu löschen und nur mit Aufgaben zu arbeiten, löschen Sie einfach diese Zeile.</t>
  </si>
  <si>
    <t>In den Zeilen 10 bis 13 wird das Muster aus Zeile 9 wiederholt. 
Wiederholen Sie die Anweisungen aus Zelle A9 für alle Aufgabenzeilen auf diesem Arbeitsblatt. Überschreiben Sie alle Beispieldaten.
Ein Beispiel für eine andere Phase beginnt in Zelle A14. 
Setzen Sie die Eingabe von Aufgaben in den Zellen A10 bis A13 fort, oder wechseln Sie zu Zelle A14, um weitere Informationen zu erhalten.</t>
  </si>
  <si>
    <t>Die Zelle rechts enthält den Beispieltitel „Phase 2“. 
Sie können jederzeit in Spalte B eine neue Phase erstellen. In diesem Projektplan sind keine Phasen erforderlich. Um die Phase zu entfernen, löschen Sie einfach die Zeile.
Zum Erstellen eines neuen Phasenblocks in dieser Zeile geben Sie in der Zelle rechts einen Titel ein.
Um der Phase oben weitere Aufgaben hinzuzufügen, geben Sie über dieser Zeile eine neue Zeile ein, und tragen Sie die Aufgabendaten wie in den Anweisungen in Zelle A9 ein.
Aktualisieren Sie die Phasendetails in der Zelle rechts basierend auf den Anweisungen in Zelle A8.
Navigieren Sie weiter nach unten durch die Spaltenzellen A, um weitere Informationen zu erhalten.
Wenn Sie in diesem Arbeitsblatt keine neuen Zeilen hinzugefügt haben, werden Sie sehen, dass in den Zellen B20 und B26 2 weitere Phasenblöcke für Sie erstellt wurden. Navigieren Sie andernfalls durch die Spaltenzellen A, um die zusätzlichen Blöcke zu finden. 
Wiederholen Sie bei Bedarf die Anweisungen aus den Zellen A8 und A9.</t>
  </si>
  <si>
    <t>Titelblock für Beispielphase</t>
  </si>
  <si>
    <t>Dies ist eine leere Zeile.</t>
  </si>
  <si>
    <t>Diese Zeile kennzeichnet das Ende des Projektplans. Geben Sie in dieser Zeile NICHTS EIN. 
Fügen Sie ÜBER dieser Zeile neue Zeilen ein, um mit der Erstellung Ihres Projektplans fortzufahren.</t>
  </si>
  <si>
    <t>Insert new lines ABOVE this one</t>
  </si>
  <si>
    <t>PA: Automatische Optimierung von PID- Reglern mit Python</t>
  </si>
  <si>
    <t>Büchi Florin, Stähli Thomas</t>
  </si>
  <si>
    <t>Phase 1 Einarbeitung, Recherche</t>
  </si>
  <si>
    <t>Phase 2 Erweiterung Pythoncode für allgemeine Regelstrecken</t>
  </si>
  <si>
    <t>Phase 3 Testen PSO für neue Systeme</t>
  </si>
  <si>
    <t>Phase 4 Anwenderumgebung entwickeln</t>
  </si>
  <si>
    <t>Phase 5 Bericht schreiben</t>
  </si>
  <si>
    <t>Bericht schreiben</t>
  </si>
  <si>
    <t xml:space="preserve">Abgabe </t>
  </si>
  <si>
    <t>Einarbeitung bestehender Code</t>
  </si>
  <si>
    <t>Für definierte Systeme PSO testen</t>
  </si>
  <si>
    <t>Verifikation in Simulink</t>
  </si>
  <si>
    <t>Integration gewünschter Funktionalitäten</t>
  </si>
  <si>
    <t>Integration optionaler Funktionalitäten</t>
  </si>
  <si>
    <t>Projektstart</t>
  </si>
  <si>
    <t>Wochenanzeige</t>
  </si>
  <si>
    <t>Dokumentation Umfang Funktionalität Software</t>
  </si>
  <si>
    <t>SOLL</t>
  </si>
  <si>
    <t>IST</t>
  </si>
  <si>
    <t>Definition zu untersuchender Regelstrecken</t>
  </si>
  <si>
    <t>Verifikation Schrittantwort  in Simulink</t>
  </si>
  <si>
    <t>Umsetzung und Testen</t>
  </si>
  <si>
    <t>Erstellung Konzept für Erzeugung allgemeiner Regelstrecken / Closed-Loop</t>
  </si>
  <si>
    <t>Erweiterung System für Nutzung in PSO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</si>
</sst>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m/yy;@"/>
    <numFmt numFmtId="169" formatCode="ddd\,\ d/m/yyyy"/>
    <numFmt numFmtId="170" formatCode="d"/>
    <numFmt numFmtId="171" formatCode="[$-809]d/\ mmm\ yyyy;@"/>
    <numFmt numFmtId="172" formatCode="[$-809]d;@"/>
    <numFmt numFmtId="173" formatCode="[$-807]d/\ mmm\ yyyy;@"/>
    <numFmt numFmtId="174" formatCode="[$-807]ddd\,\ d/m/yyyy;@"/>
  </numFmts>
  <fonts count="33" x14ac:knownFonts="1">
    <font>
      <sz val="11"/>
      <color theme="1"/>
      <name val="Calibri"/>
      <family val="2"/>
      <scheme val="min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sz val="11"/>
      <color theme="0"/>
      <name val="Calibri"/>
      <family val="2"/>
      <scheme val="minor"/>
    </font>
    <font>
      <b/>
      <sz val="11"/>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9"/>
      <color theme="1"/>
      <name val="Calibri"/>
      <family val="2"/>
      <scheme val="minor"/>
    </font>
    <font>
      <b/>
      <sz val="9"/>
      <color theme="1"/>
      <name val="Calibri"/>
      <family val="2"/>
      <scheme val="minor"/>
    </font>
    <font>
      <sz val="11"/>
      <name val="Calibri"/>
      <family val="2"/>
    </font>
    <font>
      <b/>
      <sz val="11"/>
      <name val="Calibri"/>
      <family val="2"/>
    </font>
    <font>
      <sz val="14"/>
      <name val="Calibri"/>
      <family val="2"/>
      <scheme val="minor"/>
    </font>
    <font>
      <b/>
      <sz val="22"/>
      <color rgb="FF595959"/>
      <name val="Calibri"/>
      <family val="2"/>
      <scheme val="major"/>
    </font>
  </fonts>
  <fills count="47">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8CBAD"/>
        <bgColor indexed="64"/>
      </patternFill>
    </fill>
    <fill>
      <patternFill patternType="solid">
        <fgColor rgb="FFBDD7EE"/>
        <bgColor indexed="64"/>
      </patternFill>
    </fill>
    <fill>
      <patternFill patternType="solid">
        <fgColor rgb="FFA97FC9"/>
        <bgColor indexed="64"/>
      </patternFill>
    </fill>
    <fill>
      <patternFill patternType="solid">
        <fgColor rgb="FFF5B68B"/>
        <bgColor indexed="64"/>
      </patternFill>
    </fill>
    <fill>
      <patternFill patternType="solid">
        <fgColor rgb="FF95BEE3"/>
        <bgColor indexed="64"/>
      </patternFill>
    </fill>
    <fill>
      <patternFill patternType="solid">
        <fgColor rgb="FFD4BEE4"/>
        <bgColor indexed="64"/>
      </patternFill>
    </fill>
    <fill>
      <patternFill patternType="solid">
        <fgColor rgb="FFFFE9A3"/>
        <bgColor indexed="64"/>
      </patternFill>
    </fill>
    <fill>
      <patternFill patternType="solid">
        <fgColor rgb="FFFFDE75"/>
        <bgColor indexed="64"/>
      </patternFill>
    </fill>
    <fill>
      <patternFill patternType="solid">
        <fgColor rgb="FFD0DFAF"/>
        <bgColor indexed="64"/>
      </patternFill>
    </fill>
  </fills>
  <borders count="2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0" tint="-0.14996795556505021"/>
      </bottom>
      <diagonal/>
    </border>
    <border>
      <left/>
      <right/>
      <top/>
      <bottom style="medium">
        <color theme="0" tint="-0.14999847407452621"/>
      </bottom>
      <diagonal/>
    </border>
    <border>
      <left/>
      <right/>
      <top style="medium">
        <color theme="0" tint="-0.14996795556505021"/>
      </top>
      <bottom/>
      <diagonal/>
    </border>
    <border>
      <left/>
      <right/>
      <top style="medium">
        <color theme="0" tint="-0.14999847407452621"/>
      </top>
      <bottom/>
      <diagonal/>
    </border>
  </borders>
  <cellStyleXfs count="54">
    <xf numFmtId="0" fontId="0" fillId="0" borderId="0"/>
    <xf numFmtId="0" fontId="2" fillId="0" borderId="0" applyNumberFormat="0" applyFill="0" applyBorder="0" applyAlignment="0" applyProtection="0">
      <alignment vertical="top"/>
      <protection locked="0"/>
    </xf>
    <xf numFmtId="9" fontId="8" fillId="0" borderId="0" applyFont="0" applyFill="0" applyBorder="0" applyAlignment="0" applyProtection="0"/>
    <xf numFmtId="0" fontId="13" fillId="0" borderId="0"/>
    <xf numFmtId="167" fontId="8" fillId="0" borderId="3" applyFont="0" applyFill="0" applyAlignment="0" applyProtection="0"/>
    <xf numFmtId="0" fontId="12"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8" fillId="0" borderId="0" applyNumberFormat="0" applyFill="0" applyProtection="0">
      <alignment horizontal="right" indent="1"/>
    </xf>
    <xf numFmtId="169" fontId="8" fillId="0" borderId="3">
      <alignment horizontal="center" vertical="center"/>
    </xf>
    <xf numFmtId="168" fontId="8" fillId="0" borderId="2" applyFill="0">
      <alignment horizontal="center" vertical="center"/>
    </xf>
    <xf numFmtId="0" fontId="8" fillId="0" borderId="2" applyFill="0">
      <alignment horizontal="center" vertical="center"/>
    </xf>
    <xf numFmtId="0" fontId="8" fillId="0" borderId="2" applyFill="0">
      <alignment horizontal="left" vertical="center" indent="2"/>
    </xf>
    <xf numFmtId="0" fontId="15" fillId="0" borderId="0" applyNumberFormat="0" applyFill="0" applyBorder="0" applyAlignment="0" applyProtection="0"/>
    <xf numFmtId="166" fontId="8" fillId="0" borderId="0" applyFont="0" applyFill="0" applyBorder="0" applyAlignment="0" applyProtection="0"/>
    <xf numFmtId="165" fontId="8" fillId="0" borderId="0" applyFont="0" applyFill="0" applyBorder="0" applyAlignment="0" applyProtection="0"/>
    <xf numFmtId="164" fontId="8" fillId="0" borderId="0" applyFont="0" applyFill="0" applyBorder="0" applyAlignment="0" applyProtection="0"/>
    <xf numFmtId="0" fontId="16" fillId="0" borderId="0" applyNumberFormat="0" applyFill="0" applyBorder="0" applyAlignment="0" applyProtection="0"/>
    <xf numFmtId="0" fontId="17" fillId="7" borderId="0" applyNumberFormat="0" applyBorder="0" applyAlignment="0" applyProtection="0"/>
    <xf numFmtId="0" fontId="18" fillId="8" borderId="0" applyNumberFormat="0" applyBorder="0" applyAlignment="0" applyProtection="0"/>
    <xf numFmtId="0" fontId="19" fillId="9" borderId="0" applyNumberFormat="0" applyBorder="0" applyAlignment="0" applyProtection="0"/>
    <xf numFmtId="0" fontId="20" fillId="10" borderId="11" applyNumberFormat="0" applyAlignment="0" applyProtection="0"/>
    <xf numFmtId="0" fontId="21" fillId="11" borderId="12" applyNumberFormat="0" applyAlignment="0" applyProtection="0"/>
    <xf numFmtId="0" fontId="22" fillId="11" borderId="11" applyNumberFormat="0" applyAlignment="0" applyProtection="0"/>
    <xf numFmtId="0" fontId="23" fillId="0" borderId="13" applyNumberFormat="0" applyFill="0" applyAlignment="0" applyProtection="0"/>
    <xf numFmtId="0" fontId="24" fillId="12" borderId="14" applyNumberFormat="0" applyAlignment="0" applyProtection="0"/>
    <xf numFmtId="0" fontId="25" fillId="0" borderId="0" applyNumberFormat="0" applyFill="0" applyBorder="0" applyAlignment="0" applyProtection="0"/>
    <xf numFmtId="0" fontId="8" fillId="13" borderId="15" applyNumberFormat="0" applyFont="0" applyAlignment="0" applyProtection="0"/>
    <xf numFmtId="0" fontId="26" fillId="0" borderId="0" applyNumberFormat="0" applyFill="0" applyBorder="0" applyAlignment="0" applyProtection="0"/>
    <xf numFmtId="0" fontId="5" fillId="0" borderId="16" applyNumberFormat="0" applyFill="0" applyAlignment="0" applyProtection="0"/>
    <xf numFmtId="0" fontId="13"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13"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13"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13"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13"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13"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77">
    <xf numFmtId="0" fontId="0" fillId="0" borderId="0" xfId="0"/>
    <xf numFmtId="0" fontId="1" fillId="0" borderId="0" xfId="0" applyFont="1"/>
    <xf numFmtId="0" fontId="0" fillId="0" borderId="0" xfId="0" applyAlignment="1">
      <alignment vertical="center"/>
    </xf>
    <xf numFmtId="0" fontId="1"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6" fillId="6" borderId="1" xfId="0" applyFont="1" applyFill="1" applyBorder="1" applyAlignment="1">
      <alignment horizontal="left" vertical="center" indent="1"/>
    </xf>
    <xf numFmtId="0" fontId="6" fillId="6" borderId="1" xfId="0" applyFont="1" applyFill="1" applyBorder="1" applyAlignment="1">
      <alignment horizontal="center" vertical="center" wrapText="1"/>
    </xf>
    <xf numFmtId="9" fontId="4" fillId="0" borderId="2" xfId="2" applyFont="1" applyBorder="1" applyAlignment="1">
      <alignment horizontal="center" vertical="center"/>
    </xf>
    <xf numFmtId="0" fontId="4" fillId="0" borderId="2" xfId="0" applyFont="1" applyBorder="1" applyAlignment="1">
      <alignment horizontal="center" vertical="center"/>
    </xf>
    <xf numFmtId="0" fontId="7" fillId="2" borderId="2" xfId="0" applyFont="1" applyFill="1" applyBorder="1" applyAlignment="1">
      <alignment horizontal="left" vertical="center" indent="1"/>
    </xf>
    <xf numFmtId="9" fontId="4" fillId="2" borderId="2" xfId="2" applyFont="1" applyFill="1" applyBorder="1" applyAlignment="1">
      <alignment horizontal="center" vertical="center"/>
    </xf>
    <xf numFmtId="0" fontId="4" fillId="2" borderId="2" xfId="0" applyFont="1" applyFill="1" applyBorder="1" applyAlignment="1">
      <alignment horizontal="center" vertical="center"/>
    </xf>
    <xf numFmtId="0" fontId="0" fillId="0" borderId="9" xfId="0" applyBorder="1" applyAlignment="1">
      <alignment vertical="center"/>
    </xf>
    <xf numFmtId="0" fontId="0" fillId="2" borderId="9" xfId="0" applyFill="1" applyBorder="1" applyAlignment="1">
      <alignment vertical="center"/>
    </xf>
    <xf numFmtId="0" fontId="1" fillId="0" borderId="0" xfId="0" applyFont="1" applyAlignment="1">
      <alignment horizontal="center" vertical="center"/>
    </xf>
    <xf numFmtId="0" fontId="13" fillId="0" borderId="0" xfId="3"/>
    <xf numFmtId="0" fontId="13" fillId="0" borderId="0" xfId="3" applyAlignment="1">
      <alignment wrapText="1"/>
    </xf>
    <xf numFmtId="0" fontId="13" fillId="0" borderId="0" xfId="0" applyFont="1" applyAlignment="1">
      <alignment horizontal="center"/>
    </xf>
    <xf numFmtId="0" fontId="9" fillId="0" borderId="0" xfId="6"/>
    <xf numFmtId="0" fontId="8" fillId="0" borderId="2" xfId="12">
      <alignment horizontal="left" vertical="center" indent="2"/>
    </xf>
    <xf numFmtId="0" fontId="0" fillId="0" borderId="10" xfId="0" applyBorder="1"/>
    <xf numFmtId="0" fontId="14" fillId="0" borderId="0" xfId="0" applyFont="1"/>
    <xf numFmtId="168" fontId="8" fillId="0" borderId="2" xfId="10">
      <alignment horizontal="center" vertical="center"/>
    </xf>
    <xf numFmtId="168" fontId="3" fillId="2" borderId="2" xfId="0" applyNumberFormat="1" applyFont="1" applyFill="1" applyBorder="1" applyAlignment="1">
      <alignment horizontal="left" vertical="center"/>
    </xf>
    <xf numFmtId="168" fontId="4" fillId="2" borderId="2" xfId="0" applyNumberFormat="1" applyFont="1" applyFill="1" applyBorder="1" applyAlignment="1">
      <alignment horizontal="center" vertical="center"/>
    </xf>
    <xf numFmtId="170" fontId="10" fillId="3" borderId="6" xfId="0" applyNumberFormat="1" applyFont="1" applyFill="1" applyBorder="1" applyAlignment="1">
      <alignment horizontal="center" vertical="center"/>
    </xf>
    <xf numFmtId="170" fontId="10" fillId="3" borderId="0" xfId="0" applyNumberFormat="1" applyFont="1" applyFill="1" applyAlignment="1">
      <alignment horizontal="center" vertical="center"/>
    </xf>
    <xf numFmtId="170" fontId="10" fillId="3" borderId="7" xfId="0" applyNumberFormat="1" applyFont="1" applyFill="1" applyBorder="1" applyAlignment="1">
      <alignment horizontal="center" vertical="center"/>
    </xf>
    <xf numFmtId="0" fontId="6" fillId="6" borderId="5" xfId="0" applyFont="1" applyFill="1" applyBorder="1" applyAlignment="1">
      <alignment horizontal="center" vertical="center" wrapText="1"/>
    </xf>
    <xf numFmtId="171" fontId="11" fillId="5" borderId="8" xfId="0" applyNumberFormat="1" applyFont="1" applyFill="1" applyBorder="1" applyAlignment="1">
      <alignment horizontal="center" vertical="center" shrinkToFit="1"/>
    </xf>
    <xf numFmtId="172" fontId="10" fillId="3" borderId="6" xfId="0" applyNumberFormat="1" applyFont="1" applyFill="1" applyBorder="1" applyAlignment="1">
      <alignment horizontal="center" vertical="center"/>
    </xf>
    <xf numFmtId="168" fontId="27" fillId="38" borderId="2" xfId="10" applyFont="1" applyFill="1">
      <alignment horizontal="center" vertical="center"/>
    </xf>
    <xf numFmtId="0" fontId="28" fillId="41" borderId="2" xfId="0" applyFont="1" applyFill="1" applyBorder="1" applyAlignment="1">
      <alignment horizontal="left" vertical="center" indent="1"/>
    </xf>
    <xf numFmtId="9" fontId="10" fillId="38" borderId="2" xfId="2" applyFont="1" applyFill="1" applyBorder="1" applyAlignment="1">
      <alignment horizontal="center" vertical="center"/>
    </xf>
    <xf numFmtId="9" fontId="10" fillId="45" borderId="2" xfId="2" applyFont="1" applyFill="1" applyBorder="1" applyAlignment="1">
      <alignment horizontal="center" vertical="center"/>
    </xf>
    <xf numFmtId="168" fontId="27" fillId="45" borderId="2" xfId="0" applyNumberFormat="1" applyFont="1" applyFill="1" applyBorder="1" applyAlignment="1">
      <alignment horizontal="center" vertical="center"/>
    </xf>
    <xf numFmtId="168" fontId="10" fillId="45" borderId="2" xfId="0" applyNumberFormat="1" applyFont="1" applyFill="1" applyBorder="1" applyAlignment="1">
      <alignment horizontal="center" vertical="center"/>
    </xf>
    <xf numFmtId="168" fontId="27" fillId="44" borderId="2" xfId="10" applyFont="1" applyFill="1">
      <alignment horizontal="center" vertical="center"/>
    </xf>
    <xf numFmtId="9" fontId="10" fillId="46" borderId="2" xfId="2" applyFont="1" applyFill="1" applyBorder="1" applyAlignment="1">
      <alignment horizontal="center" vertical="center"/>
    </xf>
    <xf numFmtId="168" fontId="27" fillId="46" borderId="2" xfId="0" applyNumberFormat="1" applyFont="1" applyFill="1" applyBorder="1" applyAlignment="1">
      <alignment horizontal="center" vertical="center"/>
    </xf>
    <xf numFmtId="168" fontId="10" fillId="46" borderId="2" xfId="0" applyNumberFormat="1" applyFont="1" applyFill="1" applyBorder="1" applyAlignment="1">
      <alignment horizontal="center" vertical="center"/>
    </xf>
    <xf numFmtId="9" fontId="10" fillId="4" borderId="2" xfId="2" applyFont="1" applyFill="1" applyBorder="1" applyAlignment="1">
      <alignment horizontal="center" vertical="center"/>
    </xf>
    <xf numFmtId="168" fontId="27" fillId="4" borderId="2" xfId="10" applyFont="1" applyFill="1">
      <alignment horizontal="center" vertical="center"/>
    </xf>
    <xf numFmtId="0" fontId="27" fillId="42" borderId="17" xfId="11" applyFont="1" applyFill="1" applyBorder="1">
      <alignment horizontal="center" vertical="center"/>
    </xf>
    <xf numFmtId="168" fontId="27" fillId="42" borderId="17" xfId="0" applyNumberFormat="1" applyFont="1" applyFill="1" applyBorder="1" applyAlignment="1">
      <alignment horizontal="center" vertical="center"/>
    </xf>
    <xf numFmtId="168" fontId="10" fillId="42" borderId="17" xfId="0" applyNumberFormat="1" applyFont="1" applyFill="1" applyBorder="1" applyAlignment="1">
      <alignment horizontal="center" vertical="center"/>
    </xf>
    <xf numFmtId="9" fontId="10" fillId="39" borderId="2" xfId="2" applyFont="1" applyFill="1" applyBorder="1" applyAlignment="1">
      <alignment horizontal="center" vertical="center"/>
    </xf>
    <xf numFmtId="168" fontId="27" fillId="39" borderId="2" xfId="10" applyFont="1" applyFill="1">
      <alignment horizontal="center" vertical="center"/>
    </xf>
    <xf numFmtId="0" fontId="27" fillId="40" borderId="18" xfId="0" applyFont="1" applyFill="1" applyBorder="1" applyAlignment="1">
      <alignment vertical="center"/>
    </xf>
    <xf numFmtId="9" fontId="10" fillId="43" borderId="2" xfId="2" applyFont="1" applyFill="1" applyBorder="1" applyAlignment="1">
      <alignment horizontal="center" vertical="center"/>
    </xf>
    <xf numFmtId="168" fontId="27" fillId="43" borderId="2" xfId="10" applyFont="1" applyFill="1">
      <alignment horizontal="center" vertical="center"/>
    </xf>
    <xf numFmtId="0" fontId="14" fillId="41" borderId="2" xfId="0" applyFont="1" applyFill="1" applyBorder="1" applyAlignment="1">
      <alignment horizontal="left" vertical="center" wrapText="1" indent="1"/>
    </xf>
    <xf numFmtId="0" fontId="14" fillId="45" borderId="2" xfId="0" applyFont="1" applyFill="1" applyBorder="1" applyAlignment="1">
      <alignment horizontal="left" vertical="center" wrapText="1" indent="1"/>
    </xf>
    <xf numFmtId="0" fontId="14" fillId="46" borderId="2" xfId="0" applyFont="1" applyFill="1" applyBorder="1" applyAlignment="1">
      <alignment horizontal="left" vertical="center" wrapText="1" indent="1"/>
    </xf>
    <xf numFmtId="0" fontId="14" fillId="42" borderId="17" xfId="0" applyFont="1" applyFill="1" applyBorder="1" applyAlignment="1">
      <alignment horizontal="left" vertical="center" wrapText="1" indent="1"/>
    </xf>
    <xf numFmtId="0" fontId="30" fillId="40" borderId="18" xfId="0" applyFont="1" applyFill="1" applyBorder="1" applyAlignment="1">
      <alignment horizontal="left" vertical="center" wrapText="1" indent="1"/>
    </xf>
    <xf numFmtId="9" fontId="10" fillId="44" borderId="2" xfId="2" applyFont="1" applyFill="1" applyBorder="1" applyAlignment="1">
      <alignment horizontal="center" vertical="center"/>
    </xf>
    <xf numFmtId="0" fontId="31" fillId="0" borderId="0" xfId="7" applyFont="1">
      <alignment vertical="top"/>
    </xf>
    <xf numFmtId="0" fontId="32" fillId="0" borderId="0" xfId="5" applyFont="1" applyAlignment="1">
      <alignment horizontal="left"/>
    </xf>
    <xf numFmtId="0" fontId="8" fillId="0" borderId="7" xfId="8" applyBorder="1">
      <alignment horizontal="right" indent="1"/>
    </xf>
    <xf numFmtId="0" fontId="8" fillId="4" borderId="19" xfId="12" applyFill="1" applyBorder="1" applyAlignment="1">
      <alignment horizontal="left" vertical="center" wrapText="1" indent="2"/>
    </xf>
    <xf numFmtId="0" fontId="8" fillId="4" borderId="17" xfId="12" applyFill="1" applyBorder="1" applyAlignment="1">
      <alignment horizontal="left" vertical="center" wrapText="1" indent="2"/>
    </xf>
    <xf numFmtId="0" fontId="4" fillId="43" borderId="20" xfId="12" applyFont="1" applyFill="1" applyBorder="1" applyAlignment="1">
      <alignment horizontal="left" vertical="center" wrapText="1" indent="2"/>
    </xf>
    <xf numFmtId="0" fontId="4" fillId="43" borderId="17" xfId="12" applyFont="1" applyFill="1" applyBorder="1" applyAlignment="1">
      <alignment horizontal="left" vertical="center" wrapText="1" indent="2"/>
    </xf>
    <xf numFmtId="0" fontId="4" fillId="43" borderId="18" xfId="12" applyFont="1" applyFill="1" applyBorder="1" applyAlignment="1">
      <alignment horizontal="left" vertical="center" wrapText="1" indent="2"/>
    </xf>
    <xf numFmtId="0" fontId="29" fillId="39" borderId="19" xfId="0" applyFont="1" applyFill="1" applyBorder="1" applyAlignment="1">
      <alignment horizontal="left" vertical="center" indent="2"/>
    </xf>
    <xf numFmtId="0" fontId="29" fillId="39" borderId="18" xfId="0" applyFont="1" applyFill="1" applyBorder="1" applyAlignment="1">
      <alignment horizontal="left" vertical="center" indent="2"/>
    </xf>
    <xf numFmtId="174" fontId="8" fillId="0" borderId="3" xfId="9" applyNumberFormat="1">
      <alignment horizontal="center" vertical="center"/>
    </xf>
    <xf numFmtId="173" fontId="0" fillId="3" borderId="4" xfId="0" applyNumberFormat="1" applyFill="1" applyBorder="1" applyAlignment="1">
      <alignment horizontal="center" vertical="center" wrapText="1"/>
    </xf>
    <xf numFmtId="173" fontId="0" fillId="3" borderId="1" xfId="0" applyNumberFormat="1" applyFill="1" applyBorder="1" applyAlignment="1">
      <alignment horizontal="center" vertical="center" wrapText="1"/>
    </xf>
    <xf numFmtId="173" fontId="0" fillId="3" borderId="5" xfId="0" applyNumberFormat="1" applyFill="1" applyBorder="1" applyAlignment="1">
      <alignment horizontal="center" vertical="center" wrapText="1"/>
    </xf>
    <xf numFmtId="0" fontId="8" fillId="44" borderId="19" xfId="12" applyFill="1" applyBorder="1" applyAlignment="1">
      <alignment horizontal="left" vertical="center" wrapText="1" indent="2"/>
    </xf>
    <xf numFmtId="0" fontId="8" fillId="44" borderId="17" xfId="12" applyFill="1" applyBorder="1" applyAlignment="1">
      <alignment horizontal="left" vertical="center" wrapText="1" indent="2"/>
    </xf>
    <xf numFmtId="0" fontId="0" fillId="38" borderId="19" xfId="12" applyFont="1" applyFill="1" applyBorder="1" applyAlignment="1">
      <alignment horizontal="left" vertical="center" wrapText="1" indent="2"/>
    </xf>
    <xf numFmtId="0" fontId="0" fillId="38" borderId="17" xfId="12" applyFont="1" applyFill="1" applyBorder="1" applyAlignment="1">
      <alignment horizontal="left" vertical="center" wrapText="1" indent="2"/>
    </xf>
  </cellXfs>
  <cellStyles count="54">
    <cellStyle name="20 % - Akzent1" xfId="31" builtinId="30" customBuiltin="1"/>
    <cellStyle name="20 % - Akzent2" xfId="35" builtinId="34" customBuiltin="1"/>
    <cellStyle name="20 % - Akzent3" xfId="39" builtinId="38" customBuiltin="1"/>
    <cellStyle name="20 % - Akzent4" xfId="43" builtinId="42" customBuiltin="1"/>
    <cellStyle name="20 % - Akzent5" xfId="47" builtinId="46" customBuiltin="1"/>
    <cellStyle name="20 % - Akzent6" xfId="51" builtinId="50" customBuiltin="1"/>
    <cellStyle name="40 % - Akzent1" xfId="32" builtinId="31" customBuiltin="1"/>
    <cellStyle name="40 % - Akzent2" xfId="36" builtinId="35" customBuiltin="1"/>
    <cellStyle name="40 % - Akzent3" xfId="40" builtinId="39" customBuiltin="1"/>
    <cellStyle name="40 % - Akzent4" xfId="44" builtinId="43" customBuiltin="1"/>
    <cellStyle name="40 % - Akzent5" xfId="48" builtinId="47" customBuiltin="1"/>
    <cellStyle name="40 % - Akzent6" xfId="52" builtinId="51" customBuiltin="1"/>
    <cellStyle name="60 % - Akzent1" xfId="33" builtinId="32" customBuiltin="1"/>
    <cellStyle name="60 % - Akzent2" xfId="37" builtinId="36" customBuiltin="1"/>
    <cellStyle name="60 % - Akzent3" xfId="41" builtinId="40" customBuiltin="1"/>
    <cellStyle name="60 % - Akzent4" xfId="45" builtinId="44" customBuiltin="1"/>
    <cellStyle name="60 % - Akzent5" xfId="49" builtinId="48" customBuiltin="1"/>
    <cellStyle name="60 % - Akzent6" xfId="53" builtinId="52" customBuiltin="1"/>
    <cellStyle name="Akzent1" xfId="30" builtinId="29" customBuiltin="1"/>
    <cellStyle name="Akzent2" xfId="34" builtinId="33" customBuiltin="1"/>
    <cellStyle name="Akzent3" xfId="38" builtinId="37" customBuiltin="1"/>
    <cellStyle name="Akzent4" xfId="42" builtinId="41" customBuiltin="1"/>
    <cellStyle name="Akzent5" xfId="46" builtinId="45" customBuiltin="1"/>
    <cellStyle name="Akzent6" xfId="50" builtinId="49" customBuiltin="1"/>
    <cellStyle name="Aufgabe" xfId="12" xr:uid="{6391D789-272B-4DD2-9BF3-2CDCF610FA41}"/>
    <cellStyle name="Ausgabe" xfId="22" builtinId="21" customBuiltin="1"/>
    <cellStyle name="Berechnung" xfId="23" builtinId="22" customBuiltin="1"/>
    <cellStyle name="Besuchter Hyperlink" xfId="13" builtinId="9" customBuiltin="1"/>
    <cellStyle name="Datum" xfId="10" xr:uid="{229918B6-DD13-4F5A-97B9-305F7E002AA3}"/>
    <cellStyle name="Dezimal [0]" xfId="14" builtinId="6" customBuiltin="1"/>
    <cellStyle name="Eingabe" xfId="21" builtinId="20" customBuiltin="1"/>
    <cellStyle name="Ergebnis" xfId="29" builtinId="25" customBuiltin="1"/>
    <cellStyle name="Erklärender Text" xfId="28" builtinId="53" customBuiltin="1"/>
    <cellStyle name="Gut" xfId="18" builtinId="26" customBuiltin="1"/>
    <cellStyle name="Komma" xfId="4" builtinId="3" customBuiltin="1"/>
    <cellStyle name="Link" xfId="1" builtinId="8" customBuiltin="1"/>
    <cellStyle name="Name" xfId="11" xr:uid="{B2D3C1EE-6B41-4801-AAFC-C2274E49E503}"/>
    <cellStyle name="Neutral" xfId="20" builtinId="28" customBuiltin="1"/>
    <cellStyle name="Notiz" xfId="27" builtinId="10" customBuiltin="1"/>
    <cellStyle name="Projektanfang" xfId="9" xr:uid="{8EB8A09A-C31C-40A3-B2C1-9449520178B8}"/>
    <cellStyle name="Prozent" xfId="2" builtinId="5" customBuiltin="1"/>
    <cellStyle name="Schlecht" xfId="19" builtinId="27" customBuiltin="1"/>
    <cellStyle name="Standard" xfId="0" builtinId="0" customBuiltin="1"/>
    <cellStyle name="Überschrift" xfId="5" builtinId="15" customBuiltin="1"/>
    <cellStyle name="Überschrift 1" xfId="6" builtinId="16" customBuiltin="1"/>
    <cellStyle name="Überschrift 2" xfId="7" builtinId="17" customBuiltin="1"/>
    <cellStyle name="Überschrift 3" xfId="8" builtinId="18" customBuiltin="1"/>
    <cellStyle name="Überschrift 4" xfId="17" builtinId="19" customBuiltin="1"/>
    <cellStyle name="Verknüpfte Zelle" xfId="24" builtinId="24" customBuiltin="1"/>
    <cellStyle name="Währung" xfId="15" builtinId="4" customBuiltin="1"/>
    <cellStyle name="Währung [0]" xfId="16" builtinId="7" customBuiltin="1"/>
    <cellStyle name="Warnender Text" xfId="26" builtinId="11" customBuiltin="1"/>
    <cellStyle name="zAusgeblText" xfId="3" xr:uid="{26E66EE6-E33F-4D77-BAE4-0FB4F5BBF673}"/>
    <cellStyle name="Zelle überprüfen" xfId="25" builtinId="23" customBuiltin="1"/>
  </cellStyles>
  <dxfs count="13">
    <dxf>
      <fill>
        <patternFill>
          <bgColor theme="7"/>
        </patternFill>
      </fill>
      <border>
        <left/>
        <right/>
      </border>
    </dxf>
    <dxf>
      <fill>
        <patternFill>
          <bgColor theme="0" tint="-0.34998626667073579"/>
        </patternFill>
      </fill>
      <border>
        <left/>
        <right/>
      </border>
    </dxf>
    <dxf>
      <fill>
        <patternFill>
          <bgColor rgb="FF0070C0"/>
        </patternFill>
      </fill>
      <border>
        <left/>
        <right/>
      </border>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Aufgabenliste" pivot="0" count="9" xr9:uid="{00000000-0011-0000-FFFF-FFFF00000000}">
      <tableStyleElement type="wholeTable" dxfId="12"/>
      <tableStyleElement type="headerRow" dxfId="11"/>
      <tableStyleElement type="totalRow" dxfId="10"/>
      <tableStyleElement type="firstColumn" dxfId="9"/>
      <tableStyleElement type="lastColumn" dxfId="8"/>
      <tableStyleElement type="firstRowStripe" dxfId="7"/>
      <tableStyleElement type="secondRowStripe" dxfId="6"/>
      <tableStyleElement type="firstColumnStripe" dxfId="5"/>
      <tableStyleElement type="secondColumnStripe"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E9A3"/>
      <color rgb="FFD4BEE4"/>
      <color rgb="FFBDD7EE"/>
      <color rgb="FFA3C7E7"/>
      <color rgb="FFD0DFAF"/>
      <color rgb="FFFFDE75"/>
      <color rgb="FF95BEE3"/>
      <color rgb="FFFFD85D"/>
      <color rgb="FFF5B68B"/>
      <color rgb="FFF197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A41"/>
  <sheetViews>
    <sheetView showGridLines="0" tabSelected="1" showRuler="0" zoomScaleNormal="100" zoomScalePageLayoutView="70" workbookViewId="0">
      <pane ySplit="5" topLeftCell="A12" activePane="bottomLeft" state="frozen"/>
      <selection pane="bottomLeft" activeCell="S21" sqref="S21"/>
    </sheetView>
  </sheetViews>
  <sheetFormatPr baseColWidth="10" defaultColWidth="9.140625" defaultRowHeight="30" customHeight="1" x14ac:dyDescent="0.25"/>
  <cols>
    <col min="1" max="1" width="2.7109375" style="17" customWidth="1"/>
    <col min="2" max="2" width="52.140625" customWidth="1"/>
    <col min="3" max="3" width="19.42578125" customWidth="1"/>
    <col min="4" max="4" width="10.42578125" style="4" customWidth="1"/>
    <col min="5" max="5" width="10.42578125" customWidth="1"/>
    <col min="6" max="6" width="2.7109375" customWidth="1"/>
    <col min="7" max="7" width="5.85546875" hidden="1" customWidth="1"/>
    <col min="8" max="105" width="2.7109375" customWidth="1"/>
  </cols>
  <sheetData>
    <row r="1" spans="1:105" ht="30" customHeight="1" x14ac:dyDescent="0.45">
      <c r="A1" s="18" t="s">
        <v>0</v>
      </c>
      <c r="B1" s="60" t="s">
        <v>18</v>
      </c>
      <c r="C1" s="1"/>
      <c r="D1" s="3"/>
      <c r="E1" s="16"/>
      <c r="G1" s="1"/>
      <c r="H1" s="23"/>
    </row>
    <row r="2" spans="1:105" ht="30" customHeight="1" x14ac:dyDescent="0.3">
      <c r="A2" s="17" t="s">
        <v>1</v>
      </c>
      <c r="B2" s="20"/>
      <c r="C2" s="61" t="s">
        <v>32</v>
      </c>
      <c r="D2" s="69">
        <v>45922</v>
      </c>
      <c r="E2" s="69"/>
    </row>
    <row r="3" spans="1:105" ht="30" customHeight="1" x14ac:dyDescent="0.25">
      <c r="A3" s="18" t="s">
        <v>2</v>
      </c>
      <c r="B3" s="59" t="s">
        <v>19</v>
      </c>
      <c r="C3" s="61" t="s">
        <v>33</v>
      </c>
      <c r="D3" s="6">
        <v>1</v>
      </c>
      <c r="H3" s="70">
        <f>H4</f>
        <v>45922</v>
      </c>
      <c r="I3" s="71"/>
      <c r="J3" s="71"/>
      <c r="K3" s="71"/>
      <c r="L3" s="71"/>
      <c r="M3" s="71"/>
      <c r="N3" s="72"/>
      <c r="O3" s="70">
        <f>O4</f>
        <v>45929</v>
      </c>
      <c r="P3" s="71"/>
      <c r="Q3" s="71"/>
      <c r="R3" s="71"/>
      <c r="S3" s="71"/>
      <c r="T3" s="71"/>
      <c r="U3" s="72"/>
      <c r="V3" s="70">
        <f t="shared" ref="V3" si="0">V4</f>
        <v>45936</v>
      </c>
      <c r="W3" s="71"/>
      <c r="X3" s="71"/>
      <c r="Y3" s="71"/>
      <c r="Z3" s="71"/>
      <c r="AA3" s="71"/>
      <c r="AB3" s="72"/>
      <c r="AC3" s="70">
        <f t="shared" ref="AC3" si="1">AC4</f>
        <v>45943</v>
      </c>
      <c r="AD3" s="71"/>
      <c r="AE3" s="71"/>
      <c r="AF3" s="71"/>
      <c r="AG3" s="71"/>
      <c r="AH3" s="71"/>
      <c r="AI3" s="72"/>
      <c r="AJ3" s="70">
        <f t="shared" ref="AJ3" si="2">AJ4</f>
        <v>45950</v>
      </c>
      <c r="AK3" s="71"/>
      <c r="AL3" s="71"/>
      <c r="AM3" s="71"/>
      <c r="AN3" s="71"/>
      <c r="AO3" s="71"/>
      <c r="AP3" s="72"/>
      <c r="AQ3" s="70">
        <f t="shared" ref="AQ3" si="3">AQ4</f>
        <v>45957</v>
      </c>
      <c r="AR3" s="71"/>
      <c r="AS3" s="71"/>
      <c r="AT3" s="71"/>
      <c r="AU3" s="71"/>
      <c r="AV3" s="71"/>
      <c r="AW3" s="72"/>
      <c r="AX3" s="70">
        <f t="shared" ref="AX3" si="4">AX4</f>
        <v>45964</v>
      </c>
      <c r="AY3" s="71"/>
      <c r="AZ3" s="71"/>
      <c r="BA3" s="71"/>
      <c r="BB3" s="71"/>
      <c r="BC3" s="71"/>
      <c r="BD3" s="72"/>
      <c r="BE3" s="70">
        <f t="shared" ref="BE3" si="5">BE4</f>
        <v>45971</v>
      </c>
      <c r="BF3" s="71"/>
      <c r="BG3" s="71"/>
      <c r="BH3" s="71"/>
      <c r="BI3" s="71"/>
      <c r="BJ3" s="71"/>
      <c r="BK3" s="72"/>
      <c r="BL3" s="70">
        <f t="shared" ref="BL3" si="6">BL4</f>
        <v>45978</v>
      </c>
      <c r="BM3" s="71"/>
      <c r="BN3" s="71"/>
      <c r="BO3" s="71"/>
      <c r="BP3" s="71"/>
      <c r="BQ3" s="71"/>
      <c r="BR3" s="72"/>
      <c r="BS3" s="70">
        <f t="shared" ref="BS3" si="7">BS4</f>
        <v>45985</v>
      </c>
      <c r="BT3" s="71"/>
      <c r="BU3" s="71"/>
      <c r="BV3" s="71"/>
      <c r="BW3" s="71"/>
      <c r="BX3" s="71"/>
      <c r="BY3" s="72"/>
      <c r="BZ3" s="70">
        <f t="shared" ref="BZ3" si="8">BZ4</f>
        <v>45992</v>
      </c>
      <c r="CA3" s="71"/>
      <c r="CB3" s="71"/>
      <c r="CC3" s="71"/>
      <c r="CD3" s="71"/>
      <c r="CE3" s="71"/>
      <c r="CF3" s="72"/>
      <c r="CG3" s="70">
        <f t="shared" ref="CG3" si="9">CG4</f>
        <v>45999</v>
      </c>
      <c r="CH3" s="71"/>
      <c r="CI3" s="71"/>
      <c r="CJ3" s="71"/>
      <c r="CK3" s="71"/>
      <c r="CL3" s="71"/>
      <c r="CM3" s="72"/>
      <c r="CN3" s="70">
        <f t="shared" ref="CN3" si="10">CN4</f>
        <v>46006</v>
      </c>
      <c r="CO3" s="71"/>
      <c r="CP3" s="71"/>
      <c r="CQ3" s="71"/>
      <c r="CR3" s="71"/>
      <c r="CS3" s="71"/>
      <c r="CT3" s="72"/>
      <c r="CU3" s="70">
        <f t="shared" ref="CU3" si="11">CU4</f>
        <v>46013</v>
      </c>
      <c r="CV3" s="71"/>
      <c r="CW3" s="71"/>
      <c r="CX3" s="71"/>
      <c r="CY3" s="71"/>
      <c r="CZ3" s="71"/>
      <c r="DA3" s="72"/>
    </row>
    <row r="4" spans="1:105" ht="15" customHeight="1" x14ac:dyDescent="0.25">
      <c r="A4" s="18" t="s">
        <v>3</v>
      </c>
      <c r="B4" s="22"/>
      <c r="C4" s="22"/>
      <c r="D4" s="22"/>
      <c r="E4" s="22"/>
      <c r="F4" s="22"/>
      <c r="H4" s="32">
        <f>Projektanfang-WEEKDAY(Projektanfang,1)+2+7*(Anzeigewoche-1)</f>
        <v>45922</v>
      </c>
      <c r="I4" s="32">
        <f>H4+1</f>
        <v>45923</v>
      </c>
      <c r="J4" s="32">
        <f t="shared" ref="J4:N4" si="12">I4+1</f>
        <v>45924</v>
      </c>
      <c r="K4" s="32">
        <f t="shared" si="12"/>
        <v>45925</v>
      </c>
      <c r="L4" s="32">
        <f t="shared" si="12"/>
        <v>45926</v>
      </c>
      <c r="M4" s="32">
        <f t="shared" si="12"/>
        <v>45927</v>
      </c>
      <c r="N4" s="32">
        <f t="shared" si="12"/>
        <v>45928</v>
      </c>
      <c r="O4" s="27">
        <f>N4+1</f>
        <v>45929</v>
      </c>
      <c r="P4" s="28">
        <f>O4+1</f>
        <v>45930</v>
      </c>
      <c r="Q4" s="28">
        <f t="shared" ref="Q4:AW4" si="13">P4+1</f>
        <v>45931</v>
      </c>
      <c r="R4" s="28">
        <f t="shared" si="13"/>
        <v>45932</v>
      </c>
      <c r="S4" s="28">
        <f t="shared" si="13"/>
        <v>45933</v>
      </c>
      <c r="T4" s="28">
        <f t="shared" si="13"/>
        <v>45934</v>
      </c>
      <c r="U4" s="29">
        <f t="shared" si="13"/>
        <v>45935</v>
      </c>
      <c r="V4" s="27">
        <f>U4+1</f>
        <v>45936</v>
      </c>
      <c r="W4" s="28">
        <f>V4+1</f>
        <v>45937</v>
      </c>
      <c r="X4" s="28">
        <f t="shared" si="13"/>
        <v>45938</v>
      </c>
      <c r="Y4" s="28">
        <f t="shared" si="13"/>
        <v>45939</v>
      </c>
      <c r="Z4" s="28">
        <f t="shared" si="13"/>
        <v>45940</v>
      </c>
      <c r="AA4" s="28">
        <f t="shared" si="13"/>
        <v>45941</v>
      </c>
      <c r="AB4" s="29">
        <f t="shared" si="13"/>
        <v>45942</v>
      </c>
      <c r="AC4" s="27">
        <f>AB4+1</f>
        <v>45943</v>
      </c>
      <c r="AD4" s="28">
        <f>AC4+1</f>
        <v>45944</v>
      </c>
      <c r="AE4" s="28">
        <f t="shared" si="13"/>
        <v>45945</v>
      </c>
      <c r="AF4" s="28">
        <f t="shared" si="13"/>
        <v>45946</v>
      </c>
      <c r="AG4" s="28">
        <f t="shared" si="13"/>
        <v>45947</v>
      </c>
      <c r="AH4" s="28">
        <f t="shared" si="13"/>
        <v>45948</v>
      </c>
      <c r="AI4" s="29">
        <f t="shared" si="13"/>
        <v>45949</v>
      </c>
      <c r="AJ4" s="27">
        <f>AI4+1</f>
        <v>45950</v>
      </c>
      <c r="AK4" s="28">
        <f>AJ4+1</f>
        <v>45951</v>
      </c>
      <c r="AL4" s="28">
        <f t="shared" si="13"/>
        <v>45952</v>
      </c>
      <c r="AM4" s="28">
        <f t="shared" si="13"/>
        <v>45953</v>
      </c>
      <c r="AN4" s="28">
        <f t="shared" si="13"/>
        <v>45954</v>
      </c>
      <c r="AO4" s="28">
        <f t="shared" si="13"/>
        <v>45955</v>
      </c>
      <c r="AP4" s="29">
        <f t="shared" si="13"/>
        <v>45956</v>
      </c>
      <c r="AQ4" s="27">
        <f>AP4+1</f>
        <v>45957</v>
      </c>
      <c r="AR4" s="28">
        <f>AQ4+1</f>
        <v>45958</v>
      </c>
      <c r="AS4" s="28">
        <f t="shared" si="13"/>
        <v>45959</v>
      </c>
      <c r="AT4" s="28">
        <f t="shared" si="13"/>
        <v>45960</v>
      </c>
      <c r="AU4" s="28">
        <f t="shared" si="13"/>
        <v>45961</v>
      </c>
      <c r="AV4" s="28">
        <f t="shared" si="13"/>
        <v>45962</v>
      </c>
      <c r="AW4" s="29">
        <f t="shared" si="13"/>
        <v>45963</v>
      </c>
      <c r="AX4" s="27">
        <f>AW4+1</f>
        <v>45964</v>
      </c>
      <c r="AY4" s="28">
        <f>AX4+1</f>
        <v>45965</v>
      </c>
      <c r="AZ4" s="28">
        <f t="shared" ref="AZ4:BD4" si="14">AY4+1</f>
        <v>45966</v>
      </c>
      <c r="BA4" s="28">
        <f t="shared" si="14"/>
        <v>45967</v>
      </c>
      <c r="BB4" s="28">
        <f t="shared" si="14"/>
        <v>45968</v>
      </c>
      <c r="BC4" s="28">
        <f t="shared" si="14"/>
        <v>45969</v>
      </c>
      <c r="BD4" s="29">
        <f t="shared" si="14"/>
        <v>45970</v>
      </c>
      <c r="BE4" s="27">
        <f>BD4+1</f>
        <v>45971</v>
      </c>
      <c r="BF4" s="28">
        <f>BE4+1</f>
        <v>45972</v>
      </c>
      <c r="BG4" s="28">
        <f t="shared" ref="BG4:BK4" si="15">BF4+1</f>
        <v>45973</v>
      </c>
      <c r="BH4" s="28">
        <f t="shared" si="15"/>
        <v>45974</v>
      </c>
      <c r="BI4" s="28">
        <f t="shared" si="15"/>
        <v>45975</v>
      </c>
      <c r="BJ4" s="28">
        <f t="shared" si="15"/>
        <v>45976</v>
      </c>
      <c r="BK4" s="29">
        <f t="shared" si="15"/>
        <v>45977</v>
      </c>
      <c r="BL4" s="27">
        <f>BK4+1</f>
        <v>45978</v>
      </c>
      <c r="BM4" s="28">
        <f>BL4+1</f>
        <v>45979</v>
      </c>
      <c r="BN4" s="28">
        <f t="shared" ref="BN4" si="16">BM4+1</f>
        <v>45980</v>
      </c>
      <c r="BO4" s="28">
        <f t="shared" ref="BO4" si="17">BN4+1</f>
        <v>45981</v>
      </c>
      <c r="BP4" s="28">
        <f t="shared" ref="BP4" si="18">BO4+1</f>
        <v>45982</v>
      </c>
      <c r="BQ4" s="28">
        <f t="shared" ref="BQ4" si="19">BP4+1</f>
        <v>45983</v>
      </c>
      <c r="BR4" s="29">
        <f t="shared" ref="BR4" si="20">BQ4+1</f>
        <v>45984</v>
      </c>
      <c r="BS4" s="27">
        <f>BR4+1</f>
        <v>45985</v>
      </c>
      <c r="BT4" s="28">
        <f>BS4+1</f>
        <v>45986</v>
      </c>
      <c r="BU4" s="28">
        <f t="shared" ref="BU4" si="21">BT4+1</f>
        <v>45987</v>
      </c>
      <c r="BV4" s="28">
        <f t="shared" ref="BV4" si="22">BU4+1</f>
        <v>45988</v>
      </c>
      <c r="BW4" s="28">
        <f t="shared" ref="BW4" si="23">BV4+1</f>
        <v>45989</v>
      </c>
      <c r="BX4" s="28">
        <f t="shared" ref="BX4" si="24">BW4+1</f>
        <v>45990</v>
      </c>
      <c r="BY4" s="29">
        <f t="shared" ref="BY4" si="25">BX4+1</f>
        <v>45991</v>
      </c>
      <c r="BZ4" s="27">
        <f>BY4+1</f>
        <v>45992</v>
      </c>
      <c r="CA4" s="28">
        <f>BZ4+1</f>
        <v>45993</v>
      </c>
      <c r="CB4" s="28">
        <f t="shared" ref="CB4" si="26">CA4+1</f>
        <v>45994</v>
      </c>
      <c r="CC4" s="28">
        <f t="shared" ref="CC4" si="27">CB4+1</f>
        <v>45995</v>
      </c>
      <c r="CD4" s="28">
        <f t="shared" ref="CD4" si="28">CC4+1</f>
        <v>45996</v>
      </c>
      <c r="CE4" s="28">
        <f t="shared" ref="CE4" si="29">CD4+1</f>
        <v>45997</v>
      </c>
      <c r="CF4" s="29">
        <f t="shared" ref="CF4" si="30">CE4+1</f>
        <v>45998</v>
      </c>
      <c r="CG4" s="27">
        <f>CF4+1</f>
        <v>45999</v>
      </c>
      <c r="CH4" s="28">
        <f>CG4+1</f>
        <v>46000</v>
      </c>
      <c r="CI4" s="28">
        <f t="shared" ref="CI4" si="31">CH4+1</f>
        <v>46001</v>
      </c>
      <c r="CJ4" s="28">
        <f t="shared" ref="CJ4" si="32">CI4+1</f>
        <v>46002</v>
      </c>
      <c r="CK4" s="28">
        <f t="shared" ref="CK4" si="33">CJ4+1</f>
        <v>46003</v>
      </c>
      <c r="CL4" s="28">
        <f t="shared" ref="CL4" si="34">CK4+1</f>
        <v>46004</v>
      </c>
      <c r="CM4" s="29">
        <f t="shared" ref="CM4" si="35">CL4+1</f>
        <v>46005</v>
      </c>
      <c r="CN4" s="27">
        <f>CM4+1</f>
        <v>46006</v>
      </c>
      <c r="CO4" s="28">
        <f>CN4+1</f>
        <v>46007</v>
      </c>
      <c r="CP4" s="28">
        <f t="shared" ref="CP4" si="36">CO4+1</f>
        <v>46008</v>
      </c>
      <c r="CQ4" s="28">
        <f t="shared" ref="CQ4" si="37">CP4+1</f>
        <v>46009</v>
      </c>
      <c r="CR4" s="28">
        <f t="shared" ref="CR4" si="38">CQ4+1</f>
        <v>46010</v>
      </c>
      <c r="CS4" s="28">
        <f t="shared" ref="CS4" si="39">CR4+1</f>
        <v>46011</v>
      </c>
      <c r="CT4" s="29">
        <f t="shared" ref="CT4" si="40">CS4+1</f>
        <v>46012</v>
      </c>
      <c r="CU4" s="27">
        <f>CT4+1</f>
        <v>46013</v>
      </c>
      <c r="CV4" s="28">
        <f>CU4+1</f>
        <v>46014</v>
      </c>
      <c r="CW4" s="28">
        <f t="shared" ref="CW4" si="41">CV4+1</f>
        <v>46015</v>
      </c>
      <c r="CX4" s="28">
        <f t="shared" ref="CX4" si="42">CW4+1</f>
        <v>46016</v>
      </c>
      <c r="CY4" s="28">
        <f t="shared" ref="CY4" si="43">CX4+1</f>
        <v>46017</v>
      </c>
      <c r="CZ4" s="28">
        <f t="shared" ref="CZ4" si="44">CY4+1</f>
        <v>46018</v>
      </c>
      <c r="DA4" s="29">
        <f t="shared" ref="DA4" si="45">CZ4+1</f>
        <v>46019</v>
      </c>
    </row>
    <row r="5" spans="1:105" ht="27.6" customHeight="1" thickBot="1" x14ac:dyDescent="0.3">
      <c r="A5" s="18" t="s">
        <v>4</v>
      </c>
      <c r="B5" s="7" t="s">
        <v>5</v>
      </c>
      <c r="C5" s="8" t="s">
        <v>6</v>
      </c>
      <c r="D5" s="8" t="s">
        <v>7</v>
      </c>
      <c r="E5" s="30" t="s">
        <v>8</v>
      </c>
      <c r="F5" s="8"/>
      <c r="G5" s="8" t="s">
        <v>9</v>
      </c>
      <c r="H5" s="31" t="str">
        <f>LEFT(TEXT(H4,"TTTT;@"),1)</f>
        <v>M</v>
      </c>
      <c r="I5" s="31" t="str">
        <f t="shared" ref="I5:BT5" si="46">LEFT(TEXT(I4,"TTTT;@"),1)</f>
        <v>D</v>
      </c>
      <c r="J5" s="31" t="str">
        <f t="shared" si="46"/>
        <v>M</v>
      </c>
      <c r="K5" s="31" t="str">
        <f t="shared" si="46"/>
        <v>D</v>
      </c>
      <c r="L5" s="31" t="str">
        <f t="shared" si="46"/>
        <v>F</v>
      </c>
      <c r="M5" s="31" t="str">
        <f t="shared" si="46"/>
        <v>S</v>
      </c>
      <c r="N5" s="31" t="str">
        <f t="shared" si="46"/>
        <v>S</v>
      </c>
      <c r="O5" s="31" t="str">
        <f t="shared" si="46"/>
        <v>M</v>
      </c>
      <c r="P5" s="31" t="str">
        <f t="shared" si="46"/>
        <v>D</v>
      </c>
      <c r="Q5" s="31" t="str">
        <f t="shared" si="46"/>
        <v>M</v>
      </c>
      <c r="R5" s="31" t="str">
        <f t="shared" si="46"/>
        <v>D</v>
      </c>
      <c r="S5" s="31" t="str">
        <f t="shared" si="46"/>
        <v>F</v>
      </c>
      <c r="T5" s="31" t="str">
        <f t="shared" si="46"/>
        <v>S</v>
      </c>
      <c r="U5" s="31" t="str">
        <f t="shared" si="46"/>
        <v>S</v>
      </c>
      <c r="V5" s="31" t="str">
        <f t="shared" si="46"/>
        <v>M</v>
      </c>
      <c r="W5" s="31" t="str">
        <f t="shared" si="46"/>
        <v>D</v>
      </c>
      <c r="X5" s="31" t="str">
        <f t="shared" si="46"/>
        <v>M</v>
      </c>
      <c r="Y5" s="31" t="str">
        <f t="shared" si="46"/>
        <v>D</v>
      </c>
      <c r="Z5" s="31" t="str">
        <f t="shared" si="46"/>
        <v>F</v>
      </c>
      <c r="AA5" s="31" t="str">
        <f t="shared" si="46"/>
        <v>S</v>
      </c>
      <c r="AB5" s="31" t="str">
        <f t="shared" si="46"/>
        <v>S</v>
      </c>
      <c r="AC5" s="31" t="str">
        <f t="shared" si="46"/>
        <v>M</v>
      </c>
      <c r="AD5" s="31" t="str">
        <f t="shared" si="46"/>
        <v>D</v>
      </c>
      <c r="AE5" s="31" t="str">
        <f t="shared" si="46"/>
        <v>M</v>
      </c>
      <c r="AF5" s="31" t="str">
        <f t="shared" si="46"/>
        <v>D</v>
      </c>
      <c r="AG5" s="31" t="str">
        <f t="shared" si="46"/>
        <v>F</v>
      </c>
      <c r="AH5" s="31" t="str">
        <f t="shared" si="46"/>
        <v>S</v>
      </c>
      <c r="AI5" s="31" t="str">
        <f t="shared" si="46"/>
        <v>S</v>
      </c>
      <c r="AJ5" s="31" t="str">
        <f t="shared" si="46"/>
        <v>M</v>
      </c>
      <c r="AK5" s="31" t="str">
        <f t="shared" si="46"/>
        <v>D</v>
      </c>
      <c r="AL5" s="31" t="str">
        <f t="shared" si="46"/>
        <v>M</v>
      </c>
      <c r="AM5" s="31" t="str">
        <f t="shared" si="46"/>
        <v>D</v>
      </c>
      <c r="AN5" s="31" t="str">
        <f t="shared" si="46"/>
        <v>F</v>
      </c>
      <c r="AO5" s="31" t="str">
        <f t="shared" si="46"/>
        <v>S</v>
      </c>
      <c r="AP5" s="31" t="str">
        <f t="shared" si="46"/>
        <v>S</v>
      </c>
      <c r="AQ5" s="31" t="str">
        <f t="shared" si="46"/>
        <v>M</v>
      </c>
      <c r="AR5" s="31" t="str">
        <f t="shared" si="46"/>
        <v>D</v>
      </c>
      <c r="AS5" s="31" t="str">
        <f t="shared" si="46"/>
        <v>M</v>
      </c>
      <c r="AT5" s="31" t="str">
        <f t="shared" si="46"/>
        <v>D</v>
      </c>
      <c r="AU5" s="31" t="str">
        <f t="shared" si="46"/>
        <v>F</v>
      </c>
      <c r="AV5" s="31" t="str">
        <f t="shared" si="46"/>
        <v>S</v>
      </c>
      <c r="AW5" s="31" t="str">
        <f t="shared" si="46"/>
        <v>S</v>
      </c>
      <c r="AX5" s="31" t="str">
        <f t="shared" si="46"/>
        <v>M</v>
      </c>
      <c r="AY5" s="31" t="str">
        <f t="shared" si="46"/>
        <v>D</v>
      </c>
      <c r="AZ5" s="31" t="str">
        <f t="shared" si="46"/>
        <v>M</v>
      </c>
      <c r="BA5" s="31" t="str">
        <f t="shared" si="46"/>
        <v>D</v>
      </c>
      <c r="BB5" s="31" t="str">
        <f t="shared" si="46"/>
        <v>F</v>
      </c>
      <c r="BC5" s="31" t="str">
        <f t="shared" si="46"/>
        <v>S</v>
      </c>
      <c r="BD5" s="31" t="str">
        <f t="shared" si="46"/>
        <v>S</v>
      </c>
      <c r="BE5" s="31" t="str">
        <f t="shared" si="46"/>
        <v>M</v>
      </c>
      <c r="BF5" s="31" t="str">
        <f t="shared" si="46"/>
        <v>D</v>
      </c>
      <c r="BG5" s="31" t="str">
        <f t="shared" si="46"/>
        <v>M</v>
      </c>
      <c r="BH5" s="31" t="str">
        <f t="shared" si="46"/>
        <v>D</v>
      </c>
      <c r="BI5" s="31" t="str">
        <f t="shared" si="46"/>
        <v>F</v>
      </c>
      <c r="BJ5" s="31" t="str">
        <f t="shared" si="46"/>
        <v>S</v>
      </c>
      <c r="BK5" s="31" t="str">
        <f t="shared" si="46"/>
        <v>S</v>
      </c>
      <c r="BL5" s="31" t="str">
        <f t="shared" si="46"/>
        <v>M</v>
      </c>
      <c r="BM5" s="31" t="str">
        <f t="shared" si="46"/>
        <v>D</v>
      </c>
      <c r="BN5" s="31" t="str">
        <f t="shared" si="46"/>
        <v>M</v>
      </c>
      <c r="BO5" s="31" t="str">
        <f t="shared" si="46"/>
        <v>D</v>
      </c>
      <c r="BP5" s="31" t="str">
        <f t="shared" si="46"/>
        <v>F</v>
      </c>
      <c r="BQ5" s="31" t="str">
        <f t="shared" si="46"/>
        <v>S</v>
      </c>
      <c r="BR5" s="31" t="str">
        <f t="shared" si="46"/>
        <v>S</v>
      </c>
      <c r="BS5" s="31" t="str">
        <f t="shared" si="46"/>
        <v>M</v>
      </c>
      <c r="BT5" s="31" t="str">
        <f t="shared" si="46"/>
        <v>D</v>
      </c>
      <c r="BU5" s="31" t="str">
        <f t="shared" ref="BU5:DA5" si="47">LEFT(TEXT(BU4,"TTTT;@"),1)</f>
        <v>M</v>
      </c>
      <c r="BV5" s="31" t="str">
        <f t="shared" si="47"/>
        <v>D</v>
      </c>
      <c r="BW5" s="31" t="str">
        <f t="shared" si="47"/>
        <v>F</v>
      </c>
      <c r="BX5" s="31" t="str">
        <f t="shared" si="47"/>
        <v>S</v>
      </c>
      <c r="BY5" s="31" t="str">
        <f t="shared" si="47"/>
        <v>S</v>
      </c>
      <c r="BZ5" s="31" t="str">
        <f t="shared" si="47"/>
        <v>M</v>
      </c>
      <c r="CA5" s="31" t="str">
        <f t="shared" si="47"/>
        <v>D</v>
      </c>
      <c r="CB5" s="31" t="str">
        <f t="shared" si="47"/>
        <v>M</v>
      </c>
      <c r="CC5" s="31" t="str">
        <f t="shared" si="47"/>
        <v>D</v>
      </c>
      <c r="CD5" s="31" t="str">
        <f t="shared" si="47"/>
        <v>F</v>
      </c>
      <c r="CE5" s="31" t="str">
        <f t="shared" si="47"/>
        <v>S</v>
      </c>
      <c r="CF5" s="31" t="str">
        <f t="shared" si="47"/>
        <v>S</v>
      </c>
      <c r="CG5" s="31" t="str">
        <f t="shared" si="47"/>
        <v>M</v>
      </c>
      <c r="CH5" s="31" t="str">
        <f t="shared" si="47"/>
        <v>D</v>
      </c>
      <c r="CI5" s="31" t="str">
        <f t="shared" si="47"/>
        <v>M</v>
      </c>
      <c r="CJ5" s="31" t="str">
        <f t="shared" si="47"/>
        <v>D</v>
      </c>
      <c r="CK5" s="31" t="str">
        <f t="shared" si="47"/>
        <v>F</v>
      </c>
      <c r="CL5" s="31" t="str">
        <f t="shared" si="47"/>
        <v>S</v>
      </c>
      <c r="CM5" s="31" t="str">
        <f t="shared" si="47"/>
        <v>S</v>
      </c>
      <c r="CN5" s="31" t="str">
        <f t="shared" si="47"/>
        <v>M</v>
      </c>
      <c r="CO5" s="31" t="str">
        <f t="shared" si="47"/>
        <v>D</v>
      </c>
      <c r="CP5" s="31" t="str">
        <f t="shared" si="47"/>
        <v>M</v>
      </c>
      <c r="CQ5" s="31" t="str">
        <f t="shared" si="47"/>
        <v>D</v>
      </c>
      <c r="CR5" s="31" t="str">
        <f t="shared" si="47"/>
        <v>F</v>
      </c>
      <c r="CS5" s="31" t="str">
        <f t="shared" si="47"/>
        <v>S</v>
      </c>
      <c r="CT5" s="31" t="str">
        <f t="shared" si="47"/>
        <v>S</v>
      </c>
      <c r="CU5" s="31" t="str">
        <f t="shared" si="47"/>
        <v>M</v>
      </c>
      <c r="CV5" s="31" t="str">
        <f t="shared" si="47"/>
        <v>D</v>
      </c>
      <c r="CW5" s="31" t="str">
        <f t="shared" si="47"/>
        <v>M</v>
      </c>
      <c r="CX5" s="31" t="str">
        <f t="shared" si="47"/>
        <v>D</v>
      </c>
      <c r="CY5" s="31" t="str">
        <f t="shared" si="47"/>
        <v>F</v>
      </c>
      <c r="CZ5" s="31" t="str">
        <f t="shared" si="47"/>
        <v>S</v>
      </c>
      <c r="DA5" s="31" t="str">
        <f t="shared" si="47"/>
        <v>S</v>
      </c>
    </row>
    <row r="6" spans="1:105" ht="0.75" customHeight="1" thickBot="1" x14ac:dyDescent="0.3">
      <c r="A6" s="17" t="s">
        <v>10</v>
      </c>
      <c r="D6" t="s">
        <v>35</v>
      </c>
      <c r="E6" t="s">
        <v>36</v>
      </c>
      <c r="G6" t="e">
        <f>IF(OR(ISBLANK(task_start),ISBLANK(task_end)),"",task_end-task_start+1)</f>
        <v>#VALUE!</v>
      </c>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c r="BS6" s="14"/>
      <c r="BT6" s="14"/>
      <c r="BU6" s="14"/>
      <c r="BV6" s="14"/>
      <c r="BW6" s="14"/>
      <c r="BX6" s="14"/>
      <c r="BY6" s="14"/>
      <c r="BZ6" s="14"/>
      <c r="CA6" s="14"/>
      <c r="CB6" s="14"/>
      <c r="CC6" s="14"/>
      <c r="CD6" s="14"/>
      <c r="CE6" s="14"/>
      <c r="CF6" s="14"/>
      <c r="CG6" s="14"/>
      <c r="CH6" s="14"/>
      <c r="CI6" s="14"/>
      <c r="CJ6" s="14"/>
      <c r="CK6" s="14"/>
      <c r="CL6" s="14"/>
      <c r="CM6" s="14"/>
      <c r="CN6" s="14"/>
      <c r="CO6" s="14"/>
      <c r="CP6" s="14"/>
      <c r="CQ6" s="14"/>
      <c r="CR6" s="14"/>
      <c r="CS6" s="14"/>
      <c r="CT6" s="14"/>
      <c r="CU6" s="14"/>
      <c r="CV6" s="14"/>
      <c r="CW6" s="14"/>
      <c r="CX6" s="14"/>
      <c r="CY6" s="14"/>
      <c r="CZ6" s="14"/>
      <c r="DA6" s="14"/>
    </row>
    <row r="7" spans="1:105" s="2" customFormat="1" ht="27.6" customHeight="1" thickBot="1" x14ac:dyDescent="0.3">
      <c r="A7" s="18" t="s">
        <v>11</v>
      </c>
      <c r="B7" s="53" t="s">
        <v>20</v>
      </c>
      <c r="C7" s="34"/>
      <c r="D7" s="34"/>
      <c r="E7" s="34"/>
      <c r="F7" s="10"/>
      <c r="G7" s="10" t="str">
        <f t="shared" ref="G7:G39" si="48">IF(OR(ISBLANK(task_start),ISBLANK(task_end)),"",task_end-task_start+1)</f>
        <v/>
      </c>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row>
    <row r="8" spans="1:105" s="2" customFormat="1" ht="15.75" thickBot="1" x14ac:dyDescent="0.3">
      <c r="A8" s="18"/>
      <c r="B8" s="75" t="s">
        <v>27</v>
      </c>
      <c r="C8" s="35" t="s">
        <v>35</v>
      </c>
      <c r="D8" s="33">
        <v>45922</v>
      </c>
      <c r="E8" s="33">
        <v>45935</v>
      </c>
      <c r="F8" s="10"/>
      <c r="G8" s="10">
        <f t="shared" si="48"/>
        <v>14</v>
      </c>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O8" s="14"/>
      <c r="CP8" s="14"/>
      <c r="CQ8" s="14"/>
      <c r="CR8" s="14"/>
      <c r="CS8" s="14"/>
      <c r="CT8" s="14"/>
      <c r="CU8" s="14"/>
      <c r="CV8" s="14"/>
      <c r="CW8" s="14"/>
      <c r="CX8" s="14"/>
      <c r="CY8" s="14"/>
      <c r="CZ8" s="14"/>
      <c r="DA8" s="14"/>
    </row>
    <row r="9" spans="1:105" s="2" customFormat="1" ht="15.75" thickBot="1" x14ac:dyDescent="0.3">
      <c r="A9" s="18"/>
      <c r="B9" s="76"/>
      <c r="C9" s="35" t="s">
        <v>36</v>
      </c>
      <c r="D9" s="33">
        <v>45922</v>
      </c>
      <c r="E9" s="33">
        <v>45935</v>
      </c>
      <c r="F9" s="10"/>
      <c r="G9" s="10">
        <f t="shared" si="48"/>
        <v>14</v>
      </c>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4"/>
      <c r="CP9" s="14"/>
      <c r="CQ9" s="14"/>
      <c r="CR9" s="14"/>
      <c r="CS9" s="14"/>
      <c r="CT9" s="14"/>
      <c r="CU9" s="14"/>
      <c r="CV9" s="14"/>
      <c r="CW9" s="14"/>
      <c r="CX9" s="14"/>
      <c r="CY9" s="14"/>
      <c r="CZ9" s="14"/>
      <c r="DA9" s="14"/>
    </row>
    <row r="10" spans="1:105" s="2" customFormat="1" ht="15" customHeight="1" thickBot="1" x14ac:dyDescent="0.3">
      <c r="A10" s="18" t="s">
        <v>12</v>
      </c>
      <c r="B10" s="75" t="s">
        <v>37</v>
      </c>
      <c r="C10" s="35" t="s">
        <v>35</v>
      </c>
      <c r="D10" s="33">
        <v>45929</v>
      </c>
      <c r="E10" s="33">
        <v>45935</v>
      </c>
      <c r="F10" s="10"/>
      <c r="G10" s="10">
        <f t="shared" si="48"/>
        <v>7</v>
      </c>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c r="CM10" s="14"/>
      <c r="CN10" s="14"/>
      <c r="CO10" s="14"/>
      <c r="CP10" s="14"/>
      <c r="CQ10" s="14"/>
      <c r="CR10" s="14"/>
      <c r="CS10" s="14"/>
      <c r="CT10" s="14"/>
      <c r="CU10" s="14"/>
      <c r="CV10" s="14"/>
      <c r="CW10" s="14"/>
      <c r="CX10" s="14"/>
      <c r="CY10" s="14"/>
      <c r="CZ10" s="14"/>
      <c r="DA10" s="14"/>
    </row>
    <row r="11" spans="1:105" s="2" customFormat="1" ht="15" customHeight="1" thickBot="1" x14ac:dyDescent="0.3">
      <c r="A11" s="18"/>
      <c r="B11" s="76"/>
      <c r="C11" s="35" t="s">
        <v>36</v>
      </c>
      <c r="D11" s="33">
        <v>45929</v>
      </c>
      <c r="E11" s="33">
        <v>45935</v>
      </c>
      <c r="F11" s="10"/>
      <c r="G11" s="10">
        <f t="shared" si="48"/>
        <v>7</v>
      </c>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row>
    <row r="12" spans="1:105" s="2" customFormat="1" ht="15" customHeight="1" thickBot="1" x14ac:dyDescent="0.3">
      <c r="A12" s="18" t="s">
        <v>12</v>
      </c>
      <c r="B12" s="75" t="s">
        <v>34</v>
      </c>
      <c r="C12" s="35" t="s">
        <v>35</v>
      </c>
      <c r="D12" s="33">
        <v>45929</v>
      </c>
      <c r="E12" s="33">
        <v>45942</v>
      </c>
      <c r="F12" s="10"/>
      <c r="G12" s="10">
        <f t="shared" si="48"/>
        <v>14</v>
      </c>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14"/>
      <c r="CP12" s="14"/>
      <c r="CQ12" s="14"/>
      <c r="CR12" s="14"/>
      <c r="CS12" s="14"/>
      <c r="CT12" s="14"/>
      <c r="CU12" s="14"/>
      <c r="CV12" s="14"/>
      <c r="CW12" s="14"/>
      <c r="CX12" s="14"/>
      <c r="CY12" s="14"/>
      <c r="CZ12" s="14"/>
      <c r="DA12" s="14"/>
    </row>
    <row r="13" spans="1:105" s="2" customFormat="1" ht="15" customHeight="1" thickBot="1" x14ac:dyDescent="0.3">
      <c r="A13" s="18"/>
      <c r="B13" s="76"/>
      <c r="C13" s="35" t="s">
        <v>36</v>
      </c>
      <c r="D13" s="33">
        <v>45936</v>
      </c>
      <c r="E13" s="33">
        <v>45942</v>
      </c>
      <c r="F13" s="10"/>
      <c r="G13" s="10">
        <f t="shared" si="48"/>
        <v>7</v>
      </c>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4"/>
      <c r="CP13" s="14"/>
      <c r="CQ13" s="14"/>
      <c r="CR13" s="14"/>
      <c r="CS13" s="14"/>
      <c r="CT13" s="14"/>
      <c r="CU13" s="14"/>
      <c r="CV13" s="14"/>
      <c r="CW13" s="14"/>
      <c r="CX13" s="14"/>
      <c r="CY13" s="14"/>
      <c r="CZ13" s="14"/>
      <c r="DA13" s="14"/>
    </row>
    <row r="14" spans="1:105" s="2" customFormat="1" ht="30" customHeight="1" thickBot="1" x14ac:dyDescent="0.3">
      <c r="A14" s="18" t="s">
        <v>13</v>
      </c>
      <c r="B14" s="54" t="s">
        <v>21</v>
      </c>
      <c r="C14" s="36"/>
      <c r="D14" s="37"/>
      <c r="E14" s="38"/>
      <c r="F14" s="10"/>
      <c r="G14" s="10"/>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row>
    <row r="15" spans="1:105" s="2" customFormat="1" ht="15" customHeight="1" thickBot="1" x14ac:dyDescent="0.3">
      <c r="A15" s="18"/>
      <c r="B15" s="73" t="s">
        <v>40</v>
      </c>
      <c r="C15" s="58" t="s">
        <v>35</v>
      </c>
      <c r="D15" s="39">
        <v>45936</v>
      </c>
      <c r="E15" s="39">
        <v>45942</v>
      </c>
      <c r="F15" s="10"/>
      <c r="G15" s="10">
        <f t="shared" si="48"/>
        <v>7</v>
      </c>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row>
    <row r="16" spans="1:105" s="2" customFormat="1" ht="15" customHeight="1" thickBot="1" x14ac:dyDescent="0.3">
      <c r="A16" s="18"/>
      <c r="B16" s="74"/>
      <c r="C16" s="58" t="s">
        <v>36</v>
      </c>
      <c r="D16" s="39">
        <v>45929</v>
      </c>
      <c r="E16" s="39">
        <v>45942</v>
      </c>
      <c r="F16" s="10"/>
      <c r="G16" s="10">
        <f t="shared" si="48"/>
        <v>14</v>
      </c>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14"/>
      <c r="CQ16" s="14"/>
      <c r="CR16" s="14"/>
      <c r="CS16" s="14"/>
      <c r="CT16" s="14"/>
      <c r="CU16" s="14"/>
      <c r="CV16" s="14"/>
      <c r="CW16" s="14"/>
      <c r="CX16" s="14"/>
      <c r="CY16" s="14"/>
      <c r="CZ16" s="14"/>
      <c r="DA16" s="14"/>
    </row>
    <row r="17" spans="1:105" s="2" customFormat="1" ht="15" customHeight="1" thickBot="1" x14ac:dyDescent="0.3">
      <c r="A17" s="18"/>
      <c r="B17" s="73" t="s">
        <v>39</v>
      </c>
      <c r="C17" s="58" t="s">
        <v>35</v>
      </c>
      <c r="D17" s="39">
        <v>45943</v>
      </c>
      <c r="E17" s="39">
        <v>45956</v>
      </c>
      <c r="F17" s="10"/>
      <c r="G17" s="10"/>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O17" s="14"/>
      <c r="CP17" s="14"/>
      <c r="CQ17" s="14"/>
      <c r="CR17" s="14"/>
      <c r="CS17" s="14"/>
      <c r="CT17" s="14"/>
      <c r="CU17" s="14"/>
      <c r="CV17" s="14"/>
      <c r="CW17" s="14"/>
      <c r="CX17" s="14"/>
      <c r="CY17" s="14"/>
      <c r="CZ17" s="14"/>
      <c r="DA17" s="14"/>
    </row>
    <row r="18" spans="1:105" s="2" customFormat="1" ht="15" customHeight="1" thickBot="1" x14ac:dyDescent="0.3">
      <c r="A18" s="18"/>
      <c r="B18" s="74"/>
      <c r="C18" s="58" t="s">
        <v>36</v>
      </c>
      <c r="D18" s="39">
        <v>45936</v>
      </c>
      <c r="E18" s="39">
        <v>45952</v>
      </c>
      <c r="F18" s="10"/>
      <c r="G18" s="10"/>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c r="CM18" s="14"/>
      <c r="CN18" s="14"/>
      <c r="CO18" s="14"/>
      <c r="CP18" s="14"/>
      <c r="CQ18" s="14"/>
      <c r="CR18" s="14"/>
      <c r="CS18" s="14"/>
      <c r="CT18" s="14"/>
      <c r="CU18" s="14"/>
      <c r="CV18" s="14"/>
      <c r="CW18" s="14"/>
      <c r="CX18" s="14"/>
      <c r="CY18" s="14"/>
      <c r="CZ18" s="14"/>
      <c r="DA18" s="14"/>
    </row>
    <row r="19" spans="1:105" s="2" customFormat="1" ht="15" customHeight="1" thickBot="1" x14ac:dyDescent="0.3">
      <c r="A19" s="18"/>
      <c r="B19" s="73" t="s">
        <v>38</v>
      </c>
      <c r="C19" s="58" t="s">
        <v>35</v>
      </c>
      <c r="D19" s="39">
        <v>45943</v>
      </c>
      <c r="E19" s="39">
        <v>45956</v>
      </c>
      <c r="F19" s="10"/>
      <c r="G19" s="10">
        <f t="shared" si="48"/>
        <v>14</v>
      </c>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row>
    <row r="20" spans="1:105" s="2" customFormat="1" ht="15" customHeight="1" thickBot="1" x14ac:dyDescent="0.3">
      <c r="A20" s="18"/>
      <c r="B20" s="74"/>
      <c r="C20" s="58" t="s">
        <v>36</v>
      </c>
      <c r="D20" s="39">
        <v>45936</v>
      </c>
      <c r="E20" s="39">
        <v>45952</v>
      </c>
      <c r="F20" s="10"/>
      <c r="G20" s="10">
        <f t="shared" si="48"/>
        <v>17</v>
      </c>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4"/>
      <c r="CP20" s="14"/>
      <c r="CQ20" s="14"/>
      <c r="CR20" s="14"/>
      <c r="CS20" s="14"/>
      <c r="CT20" s="14"/>
      <c r="CU20" s="14"/>
      <c r="CV20" s="14"/>
      <c r="CW20" s="14"/>
      <c r="CX20" s="14"/>
      <c r="CY20" s="14"/>
      <c r="CZ20" s="14"/>
      <c r="DA20" s="14"/>
    </row>
    <row r="21" spans="1:105" s="2" customFormat="1" ht="30" customHeight="1" thickBot="1" x14ac:dyDescent="0.3">
      <c r="A21" s="17" t="s">
        <v>14</v>
      </c>
      <c r="B21" s="55" t="s">
        <v>22</v>
      </c>
      <c r="C21" s="40"/>
      <c r="D21" s="41"/>
      <c r="E21" s="42"/>
      <c r="F21" s="10"/>
      <c r="G21" s="10"/>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4"/>
      <c r="CP21" s="14"/>
      <c r="CQ21" s="14"/>
      <c r="CR21" s="14"/>
      <c r="CS21" s="14"/>
      <c r="CT21" s="14"/>
      <c r="CU21" s="14"/>
      <c r="CV21" s="14"/>
      <c r="CW21" s="14"/>
      <c r="CX21" s="14"/>
      <c r="CY21" s="14"/>
      <c r="CZ21" s="14"/>
      <c r="DA21" s="14"/>
    </row>
    <row r="22" spans="1:105" s="2" customFormat="1" ht="15" customHeight="1" thickBot="1" x14ac:dyDescent="0.3">
      <c r="A22" s="17"/>
      <c r="B22" s="62" t="s">
        <v>41</v>
      </c>
      <c r="C22" s="43" t="s">
        <v>35</v>
      </c>
      <c r="D22" s="44">
        <v>45957</v>
      </c>
      <c r="E22" s="44">
        <v>45963</v>
      </c>
      <c r="F22" s="10"/>
      <c r="G22" s="10">
        <f t="shared" si="48"/>
        <v>7</v>
      </c>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4"/>
      <c r="CP22" s="14"/>
      <c r="CQ22" s="14"/>
      <c r="CR22" s="14"/>
      <c r="CS22" s="14"/>
      <c r="CT22" s="14"/>
      <c r="CU22" s="14"/>
      <c r="CV22" s="14"/>
      <c r="CW22" s="14"/>
      <c r="CX22" s="14"/>
      <c r="CY22" s="14"/>
      <c r="CZ22" s="14"/>
      <c r="DA22" s="14"/>
    </row>
    <row r="23" spans="1:105" s="2" customFormat="1" ht="15" customHeight="1" thickBot="1" x14ac:dyDescent="0.3">
      <c r="A23" s="17"/>
      <c r="B23" s="63"/>
      <c r="C23" s="43" t="s">
        <v>36</v>
      </c>
      <c r="D23" s="44">
        <v>45951</v>
      </c>
      <c r="E23" s="44">
        <v>45957</v>
      </c>
      <c r="F23" s="10"/>
      <c r="G23" s="10">
        <f t="shared" si="48"/>
        <v>7</v>
      </c>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O23" s="14"/>
      <c r="CP23" s="14"/>
      <c r="CQ23" s="14"/>
      <c r="CR23" s="14"/>
      <c r="CS23" s="14"/>
      <c r="CT23" s="14"/>
      <c r="CU23" s="14"/>
      <c r="CV23" s="14"/>
      <c r="CW23" s="14"/>
      <c r="CX23" s="14"/>
      <c r="CY23" s="14"/>
      <c r="CZ23" s="14"/>
      <c r="DA23" s="14"/>
    </row>
    <row r="24" spans="1:105" s="2" customFormat="1" ht="15" customHeight="1" thickBot="1" x14ac:dyDescent="0.3">
      <c r="A24" s="17"/>
      <c r="B24" s="62" t="s">
        <v>28</v>
      </c>
      <c r="C24" s="43" t="s">
        <v>35</v>
      </c>
      <c r="D24" s="44">
        <v>45957</v>
      </c>
      <c r="E24" s="44">
        <v>45963</v>
      </c>
      <c r="F24" s="10"/>
      <c r="G24" s="10">
        <f t="shared" si="48"/>
        <v>7</v>
      </c>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O24" s="14"/>
      <c r="CP24" s="14"/>
      <c r="CQ24" s="14"/>
      <c r="CR24" s="14"/>
      <c r="CS24" s="14"/>
      <c r="CT24" s="14"/>
      <c r="CU24" s="14"/>
      <c r="CV24" s="14"/>
      <c r="CW24" s="14"/>
      <c r="CX24" s="14"/>
      <c r="CY24" s="14"/>
      <c r="CZ24" s="14"/>
      <c r="DA24" s="14"/>
    </row>
    <row r="25" spans="1:105" s="2" customFormat="1" ht="15" customHeight="1" thickBot="1" x14ac:dyDescent="0.3">
      <c r="A25" s="17"/>
      <c r="B25" s="63"/>
      <c r="C25" s="43" t="s">
        <v>36</v>
      </c>
      <c r="D25" s="44">
        <v>45953</v>
      </c>
      <c r="E25" s="44">
        <v>45957</v>
      </c>
      <c r="F25" s="10"/>
      <c r="G25" s="10">
        <f t="shared" si="48"/>
        <v>5</v>
      </c>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O25" s="14"/>
      <c r="CP25" s="14"/>
      <c r="CQ25" s="14"/>
      <c r="CR25" s="14"/>
      <c r="CS25" s="14"/>
      <c r="CT25" s="14"/>
      <c r="CU25" s="14"/>
      <c r="CV25" s="14"/>
      <c r="CW25" s="14"/>
      <c r="CX25" s="14"/>
      <c r="CY25" s="14"/>
      <c r="CZ25" s="14"/>
      <c r="DA25" s="14"/>
    </row>
    <row r="26" spans="1:105" s="2" customFormat="1" ht="15" customHeight="1" thickBot="1" x14ac:dyDescent="0.3">
      <c r="A26" s="17"/>
      <c r="B26" s="62" t="s">
        <v>29</v>
      </c>
      <c r="C26" s="43" t="s">
        <v>35</v>
      </c>
      <c r="D26" s="44">
        <v>45957</v>
      </c>
      <c r="E26" s="44">
        <v>45970</v>
      </c>
      <c r="F26" s="10"/>
      <c r="G26" s="10">
        <f t="shared" si="48"/>
        <v>14</v>
      </c>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14"/>
      <c r="CR26" s="14"/>
      <c r="CS26" s="14"/>
      <c r="CT26" s="14"/>
      <c r="CU26" s="14"/>
      <c r="CV26" s="14"/>
      <c r="CW26" s="14"/>
      <c r="CX26" s="14"/>
      <c r="CY26" s="14"/>
      <c r="CZ26" s="14"/>
      <c r="DA26" s="14"/>
    </row>
    <row r="27" spans="1:105" s="2" customFormat="1" ht="15" customHeight="1" thickBot="1" x14ac:dyDescent="0.3">
      <c r="A27" s="17"/>
      <c r="B27" s="63"/>
      <c r="C27" s="43" t="s">
        <v>36</v>
      </c>
      <c r="D27" s="44">
        <v>45953</v>
      </c>
      <c r="E27" s="44">
        <v>45957</v>
      </c>
      <c r="F27" s="10"/>
      <c r="G27" s="10">
        <f t="shared" si="48"/>
        <v>5</v>
      </c>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14"/>
      <c r="CR27" s="14"/>
      <c r="CS27" s="14"/>
      <c r="CT27" s="14"/>
      <c r="CU27" s="14"/>
      <c r="CV27" s="14"/>
      <c r="CW27" s="14"/>
      <c r="CX27" s="14"/>
      <c r="CY27" s="14"/>
      <c r="CZ27" s="14"/>
      <c r="DA27" s="14"/>
    </row>
    <row r="28" spans="1:105" s="2" customFormat="1" ht="30" customHeight="1" thickBot="1" x14ac:dyDescent="0.3">
      <c r="A28" s="17"/>
      <c r="B28" s="56" t="s">
        <v>23</v>
      </c>
      <c r="C28" s="45"/>
      <c r="D28" s="46"/>
      <c r="E28" s="47"/>
      <c r="F28" s="10"/>
      <c r="G28" s="10"/>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4"/>
      <c r="CW28" s="14"/>
      <c r="CX28" s="14"/>
      <c r="CY28" s="14"/>
      <c r="CZ28" s="14"/>
      <c r="DA28" s="14"/>
    </row>
    <row r="29" spans="1:105" s="2" customFormat="1" ht="15" customHeight="1" thickBot="1" x14ac:dyDescent="0.3">
      <c r="A29" s="17"/>
      <c r="B29" s="67" t="s">
        <v>30</v>
      </c>
      <c r="C29" s="48" t="s">
        <v>35</v>
      </c>
      <c r="D29" s="49">
        <v>45971</v>
      </c>
      <c r="E29" s="49">
        <v>45984</v>
      </c>
      <c r="F29" s="10"/>
      <c r="G29" s="10">
        <f t="shared" si="48"/>
        <v>14</v>
      </c>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14"/>
      <c r="CR29" s="14"/>
      <c r="CS29" s="14"/>
      <c r="CT29" s="14"/>
      <c r="CU29" s="14"/>
      <c r="CV29" s="14"/>
      <c r="CW29" s="14"/>
      <c r="CX29" s="14"/>
      <c r="CY29" s="14"/>
      <c r="CZ29" s="14"/>
      <c r="DA29" s="14"/>
    </row>
    <row r="30" spans="1:105" s="2" customFormat="1" ht="15" customHeight="1" thickBot="1" x14ac:dyDescent="0.3">
      <c r="A30" s="17"/>
      <c r="B30" s="68"/>
      <c r="C30" s="48" t="s">
        <v>36</v>
      </c>
      <c r="D30" s="49"/>
      <c r="E30" s="49"/>
      <c r="F30" s="10"/>
      <c r="G30" s="10" t="str">
        <f t="shared" si="48"/>
        <v/>
      </c>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14"/>
      <c r="CR30" s="14"/>
      <c r="CS30" s="14"/>
      <c r="CT30" s="14"/>
      <c r="CU30" s="14"/>
      <c r="CV30" s="14"/>
      <c r="CW30" s="14"/>
      <c r="CX30" s="14"/>
      <c r="CY30" s="14"/>
      <c r="CZ30" s="14"/>
      <c r="DA30" s="14"/>
    </row>
    <row r="31" spans="1:105" s="2" customFormat="1" ht="15" customHeight="1" thickBot="1" x14ac:dyDescent="0.3">
      <c r="A31" s="17"/>
      <c r="B31" s="67" t="s">
        <v>31</v>
      </c>
      <c r="C31" s="48" t="s">
        <v>35</v>
      </c>
      <c r="D31" s="49">
        <v>45978</v>
      </c>
      <c r="E31" s="49">
        <v>45991</v>
      </c>
      <c r="F31" s="10"/>
      <c r="G31" s="10">
        <f t="shared" si="48"/>
        <v>14</v>
      </c>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14"/>
      <c r="CR31" s="14"/>
      <c r="CS31" s="14"/>
      <c r="CT31" s="14"/>
      <c r="CU31" s="14"/>
      <c r="CV31" s="14"/>
      <c r="CW31" s="14"/>
      <c r="CX31" s="14"/>
      <c r="CY31" s="14"/>
      <c r="CZ31" s="14"/>
      <c r="DA31" s="14"/>
    </row>
    <row r="32" spans="1:105" s="2" customFormat="1" ht="15" customHeight="1" thickBot="1" x14ac:dyDescent="0.3">
      <c r="A32" s="17"/>
      <c r="B32" s="68"/>
      <c r="C32" s="48" t="s">
        <v>36</v>
      </c>
      <c r="D32" s="49"/>
      <c r="E32" s="49"/>
      <c r="F32" s="10"/>
      <c r="G32" s="10" t="str">
        <f t="shared" si="48"/>
        <v/>
      </c>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14"/>
      <c r="CR32" s="14"/>
      <c r="CS32" s="14"/>
      <c r="CT32" s="14"/>
      <c r="CU32" s="14"/>
      <c r="CV32" s="14"/>
      <c r="CW32" s="14"/>
      <c r="CX32" s="14"/>
      <c r="CY32" s="14"/>
      <c r="CZ32" s="14"/>
      <c r="DA32" s="14"/>
    </row>
    <row r="33" spans="1:105" s="2" customFormat="1" ht="30" customHeight="1" thickBot="1" x14ac:dyDescent="0.3">
      <c r="A33" s="17" t="s">
        <v>14</v>
      </c>
      <c r="B33" s="57" t="s">
        <v>24</v>
      </c>
      <c r="C33" s="50"/>
      <c r="D33" s="50"/>
      <c r="E33" s="50"/>
      <c r="F33" s="10"/>
      <c r="G33" s="10"/>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c r="BY33" s="14"/>
      <c r="BZ33" s="14"/>
      <c r="CA33" s="14"/>
      <c r="CB33" s="14"/>
      <c r="CC33" s="14"/>
      <c r="CD33" s="14"/>
      <c r="CE33" s="14"/>
      <c r="CF33" s="14"/>
      <c r="CG33" s="14"/>
      <c r="CH33" s="14"/>
      <c r="CI33" s="14"/>
      <c r="CJ33" s="14"/>
      <c r="CK33" s="14"/>
      <c r="CL33" s="14"/>
      <c r="CM33" s="14"/>
      <c r="CN33" s="14"/>
      <c r="CO33" s="14"/>
      <c r="CP33" s="14"/>
      <c r="CQ33" s="14"/>
      <c r="CR33" s="14"/>
      <c r="CS33" s="14"/>
      <c r="CT33" s="14"/>
      <c r="CU33" s="14"/>
      <c r="CV33" s="14"/>
      <c r="CW33" s="14"/>
      <c r="CX33" s="14"/>
      <c r="CY33" s="14"/>
      <c r="CZ33" s="14"/>
      <c r="DA33" s="14"/>
    </row>
    <row r="34" spans="1:105" s="2" customFormat="1" ht="15" customHeight="1" thickBot="1" x14ac:dyDescent="0.3">
      <c r="A34" s="17"/>
      <c r="B34" s="64" t="s">
        <v>25</v>
      </c>
      <c r="C34" s="51" t="s">
        <v>35</v>
      </c>
      <c r="D34" s="52">
        <v>45971</v>
      </c>
      <c r="E34" s="52">
        <v>46010</v>
      </c>
      <c r="F34" s="10"/>
      <c r="G34" s="10">
        <f t="shared" si="48"/>
        <v>40</v>
      </c>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c r="CC34" s="14"/>
      <c r="CD34" s="14"/>
      <c r="CE34" s="14"/>
      <c r="CF34" s="14"/>
      <c r="CG34" s="14"/>
      <c r="CH34" s="14"/>
      <c r="CI34" s="14"/>
      <c r="CJ34" s="14"/>
      <c r="CK34" s="14"/>
      <c r="CL34" s="14"/>
      <c r="CM34" s="14"/>
      <c r="CN34" s="14"/>
      <c r="CO34" s="14"/>
      <c r="CP34" s="14"/>
      <c r="CQ34" s="14"/>
      <c r="CR34" s="14"/>
      <c r="CS34" s="14"/>
      <c r="CT34" s="14"/>
      <c r="CU34" s="14"/>
      <c r="CV34" s="14"/>
      <c r="CW34" s="14"/>
      <c r="CX34" s="14"/>
      <c r="CY34" s="14"/>
      <c r="CZ34" s="14"/>
      <c r="DA34" s="14"/>
    </row>
    <row r="35" spans="1:105" s="2" customFormat="1" ht="15" customHeight="1" thickBot="1" x14ac:dyDescent="0.3">
      <c r="A35" s="17"/>
      <c r="B35" s="66"/>
      <c r="C35" s="51" t="s">
        <v>36</v>
      </c>
      <c r="D35" s="52"/>
      <c r="E35" s="52"/>
      <c r="F35" s="10"/>
      <c r="G35" s="10" t="str">
        <f t="shared" si="48"/>
        <v/>
      </c>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c r="CJ35" s="14"/>
      <c r="CK35" s="14"/>
      <c r="CL35" s="14"/>
      <c r="CM35" s="14"/>
      <c r="CN35" s="14"/>
      <c r="CO35" s="14"/>
      <c r="CP35" s="14"/>
      <c r="CQ35" s="14"/>
      <c r="CR35" s="14"/>
      <c r="CS35" s="14"/>
      <c r="CT35" s="14"/>
      <c r="CU35" s="14"/>
      <c r="CV35" s="14"/>
      <c r="CW35" s="14"/>
      <c r="CX35" s="14"/>
      <c r="CY35" s="14"/>
      <c r="CZ35" s="14"/>
      <c r="DA35" s="14"/>
    </row>
    <row r="36" spans="1:105" s="2" customFormat="1" ht="15" customHeight="1" thickBot="1" x14ac:dyDescent="0.3">
      <c r="A36" s="17"/>
      <c r="B36" s="64" t="s">
        <v>26</v>
      </c>
      <c r="C36" s="51" t="s">
        <v>35</v>
      </c>
      <c r="D36" s="52">
        <v>46010</v>
      </c>
      <c r="E36" s="52">
        <v>46010</v>
      </c>
      <c r="F36" s="10"/>
      <c r="G36" s="10">
        <f t="shared" si="48"/>
        <v>1</v>
      </c>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c r="BT36" s="14"/>
      <c r="BU36" s="14"/>
      <c r="BV36" s="14"/>
      <c r="BW36" s="14"/>
      <c r="BX36" s="14"/>
      <c r="BY36" s="14"/>
      <c r="BZ36" s="14"/>
      <c r="CA36" s="14"/>
      <c r="CB36" s="14"/>
      <c r="CC36" s="14"/>
      <c r="CD36" s="14"/>
      <c r="CE36" s="14"/>
      <c r="CF36" s="14"/>
      <c r="CG36" s="14"/>
      <c r="CH36" s="14"/>
      <c r="CI36" s="14"/>
      <c r="CJ36" s="14"/>
      <c r="CK36" s="14"/>
      <c r="CL36" s="14"/>
      <c r="CM36" s="14"/>
      <c r="CN36" s="14"/>
      <c r="CO36" s="14"/>
      <c r="CP36" s="14"/>
      <c r="CQ36" s="14"/>
      <c r="CR36" s="14"/>
      <c r="CS36" s="14"/>
      <c r="CT36" s="14"/>
      <c r="CU36" s="14"/>
      <c r="CV36" s="14"/>
      <c r="CW36" s="14"/>
      <c r="CX36" s="14"/>
      <c r="CY36" s="14"/>
      <c r="CZ36" s="14"/>
      <c r="DA36" s="14"/>
    </row>
    <row r="37" spans="1:105" s="2" customFormat="1" ht="15" customHeight="1" thickBot="1" x14ac:dyDescent="0.3">
      <c r="A37" s="17"/>
      <c r="B37" s="65"/>
      <c r="C37" s="51" t="s">
        <v>36</v>
      </c>
      <c r="D37" s="52"/>
      <c r="E37" s="52"/>
      <c r="F37" s="10"/>
      <c r="G37" s="10" t="str">
        <f t="shared" si="48"/>
        <v/>
      </c>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c r="BS37" s="14"/>
      <c r="BT37" s="14"/>
      <c r="BU37" s="14"/>
      <c r="BV37" s="14"/>
      <c r="BW37" s="14"/>
      <c r="BX37" s="14"/>
      <c r="BY37" s="14"/>
      <c r="BZ37" s="14"/>
      <c r="CA37" s="14"/>
      <c r="CB37" s="14"/>
      <c r="CC37" s="14"/>
      <c r="CD37" s="14"/>
      <c r="CE37" s="14"/>
      <c r="CF37" s="14"/>
      <c r="CG37" s="14"/>
      <c r="CH37" s="14"/>
      <c r="CI37" s="14"/>
      <c r="CJ37" s="14"/>
      <c r="CK37" s="14"/>
      <c r="CL37" s="14"/>
      <c r="CM37" s="14"/>
      <c r="CN37" s="14"/>
      <c r="CO37" s="14"/>
      <c r="CP37" s="14"/>
      <c r="CQ37" s="14"/>
      <c r="CR37" s="14"/>
      <c r="CS37" s="14"/>
      <c r="CT37" s="14"/>
      <c r="CU37" s="14"/>
      <c r="CV37" s="14"/>
      <c r="CW37" s="14"/>
      <c r="CX37" s="14"/>
      <c r="CY37" s="14"/>
      <c r="CZ37" s="14"/>
      <c r="DA37" s="14"/>
    </row>
    <row r="38" spans="1:105" s="2" customFormat="1" ht="30" customHeight="1" thickBot="1" x14ac:dyDescent="0.3">
      <c r="A38" s="17" t="s">
        <v>15</v>
      </c>
      <c r="B38" s="21"/>
      <c r="C38" s="9"/>
      <c r="D38" s="24"/>
      <c r="E38" s="24"/>
      <c r="F38" s="10"/>
      <c r="G38" s="10" t="str">
        <f t="shared" si="48"/>
        <v/>
      </c>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c r="BY38" s="14"/>
      <c r="BZ38" s="14"/>
      <c r="CA38" s="14"/>
      <c r="CB38" s="14"/>
      <c r="CC38" s="14"/>
      <c r="CD38" s="14"/>
      <c r="CE38" s="14"/>
      <c r="CF38" s="14"/>
      <c r="CG38" s="14"/>
      <c r="CH38" s="14"/>
      <c r="CI38" s="14"/>
      <c r="CJ38" s="14"/>
      <c r="CK38" s="14"/>
      <c r="CL38" s="14"/>
      <c r="CM38" s="14"/>
      <c r="CN38" s="14"/>
      <c r="CO38" s="14"/>
      <c r="CP38" s="14"/>
      <c r="CQ38" s="14"/>
      <c r="CR38" s="14"/>
      <c r="CS38" s="14"/>
      <c r="CT38" s="14"/>
      <c r="CU38" s="14"/>
      <c r="CV38" s="14"/>
      <c r="CW38" s="14"/>
      <c r="CX38" s="14"/>
      <c r="CY38" s="14"/>
      <c r="CZ38" s="14"/>
      <c r="DA38" s="14"/>
    </row>
    <row r="39" spans="1:105" s="2" customFormat="1" ht="30" customHeight="1" thickBot="1" x14ac:dyDescent="0.3">
      <c r="A39" s="18" t="s">
        <v>16</v>
      </c>
      <c r="B39" s="11" t="s">
        <v>17</v>
      </c>
      <c r="C39" s="12"/>
      <c r="D39" s="25"/>
      <c r="E39" s="26"/>
      <c r="F39" s="13"/>
      <c r="G39" s="13" t="str">
        <f t="shared" si="48"/>
        <v/>
      </c>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c r="CX39" s="15"/>
      <c r="CY39" s="15"/>
      <c r="CZ39" s="15"/>
      <c r="DA39" s="15"/>
    </row>
    <row r="40" spans="1:105" ht="30" customHeight="1" x14ac:dyDescent="0.25">
      <c r="F40" s="5"/>
    </row>
    <row r="41" spans="1:105" ht="30" customHeight="1" x14ac:dyDescent="0.25">
      <c r="E41" s="19"/>
    </row>
  </sheetData>
  <mergeCells count="28">
    <mergeCell ref="AQ3:AW3"/>
    <mergeCell ref="AX3:BD3"/>
    <mergeCell ref="BE3:BK3"/>
    <mergeCell ref="B15:B16"/>
    <mergeCell ref="B19:B20"/>
    <mergeCell ref="AJ3:AP3"/>
    <mergeCell ref="B8:B9"/>
    <mergeCell ref="B10:B11"/>
    <mergeCell ref="B12:B13"/>
    <mergeCell ref="B17:B18"/>
    <mergeCell ref="CU3:DA3"/>
    <mergeCell ref="BL3:BR3"/>
    <mergeCell ref="BS3:BY3"/>
    <mergeCell ref="BZ3:CF3"/>
    <mergeCell ref="CG3:CM3"/>
    <mergeCell ref="CN3:CT3"/>
    <mergeCell ref="D2:E2"/>
    <mergeCell ref="H3:N3"/>
    <mergeCell ref="O3:U3"/>
    <mergeCell ref="V3:AB3"/>
    <mergeCell ref="AC3:AI3"/>
    <mergeCell ref="B24:B25"/>
    <mergeCell ref="B22:B23"/>
    <mergeCell ref="B36:B37"/>
    <mergeCell ref="B34:B35"/>
    <mergeCell ref="B29:B30"/>
    <mergeCell ref="B31:B32"/>
    <mergeCell ref="B26:B27"/>
  </mergeCells>
  <conditionalFormatting sqref="H4:DA39">
    <cfRule type="expression" dxfId="3" priority="17">
      <formula>AND(TODAY()&gt;=H$4,TODAY()&lt;I$4)</formula>
    </cfRule>
  </conditionalFormatting>
  <conditionalFormatting sqref="H6:DA39">
    <cfRule type="expression" dxfId="2" priority="53">
      <formula>#REF!=H$4</formula>
    </cfRule>
    <cfRule type="expression" dxfId="1" priority="54">
      <formula>AND(task_end&gt;=H$4,task_start&lt;I$4,$C6=$E$6)</formula>
    </cfRule>
    <cfRule type="expression" dxfId="0" priority="55">
      <formula>AND(task_end&gt;=H$4,task_start&lt;I$4,$C6=$D$6)</formula>
    </cfRule>
  </conditionalFormatting>
  <dataValidations count="1">
    <dataValidation type="whole" operator="greaterThanOrEqual" allowBlank="1" showInputMessage="1" promptTitle="Woche anzeigen" prompt="Das Ändern dieser Zahl bewirkt ein Scrollen in der Gantt-Diagrammansicht." sqref="D3" xr:uid="{00000000-0002-0000-0000-000000000000}">
      <formula1>1</formula1>
    </dataValidation>
  </dataValidations>
  <printOptions horizontalCentered="1"/>
  <pageMargins left="0.35" right="0.35" top="0.35" bottom="0.5" header="0.3" footer="0.3"/>
  <pageSetup paperSize="8" scale="53" fitToHeight="0" orientation="landscape" r:id="rId1"/>
  <headerFooter differentFirst="1" scaleWithDoc="0">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d8d41c4-2d1a-4f79-aab5-2440921370ad" xsi:nil="true"/>
    <lcf76f155ced4ddcb4097134ff3c332f xmlns="21da7c7b-2a86-4dff-bdbf-913f324e805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E708E235B0E5CE4EBF02E35118BE8A61" ma:contentTypeVersion="12" ma:contentTypeDescription="Ein neues Dokument erstellen." ma:contentTypeScope="" ma:versionID="c9cf5307cf036da9aa5d5eb7826aa596">
  <xsd:schema xmlns:xsd="http://www.w3.org/2001/XMLSchema" xmlns:xs="http://www.w3.org/2001/XMLSchema" xmlns:p="http://schemas.microsoft.com/office/2006/metadata/properties" xmlns:ns2="21da7c7b-2a86-4dff-bdbf-913f324e8051" xmlns:ns3="3d8d41c4-2d1a-4f79-aab5-2440921370ad" targetNamespace="http://schemas.microsoft.com/office/2006/metadata/properties" ma:root="true" ma:fieldsID="cc1ee7d851c350a78eceaa91df4bcabc" ns2:_="" ns3:_="">
    <xsd:import namespace="21da7c7b-2a86-4dff-bdbf-913f324e8051"/>
    <xsd:import namespace="3d8d41c4-2d1a-4f79-aab5-2440921370a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da7c7b-2a86-4dff-bdbf-913f324e80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Bildmarkierungen" ma:readOnly="false" ma:fieldId="{5cf76f15-5ced-4ddc-b409-7134ff3c332f}" ma:taxonomyMulti="true" ma:sspId="19e3ed14-352d-4aa2-a63b-0b06d7ab5fe8"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8d41c4-2d1a-4f79-aab5-2440921370a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5f98deea-ad7b-4f85-89c3-5eb06cd4979d}" ma:internalName="TaxCatchAll" ma:showField="CatchAllData" ma:web="3d8d41c4-2d1a-4f79-aab5-2440921370a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3d8d41c4-2d1a-4f79-aab5-2440921370ad"/>
    <ds:schemaRef ds:uri="21da7c7b-2a86-4dff-bdbf-913f324e8051"/>
  </ds:schemaRefs>
</ds:datastoreItem>
</file>

<file path=customXml/itemProps2.xml><?xml version="1.0" encoding="utf-8"?>
<ds:datastoreItem xmlns:ds="http://schemas.openxmlformats.org/officeDocument/2006/customXml" ds:itemID="{8FE8ED85-58B3-4608-8E91-0433556D50CE}">
  <ds:schemaRefs>
    <ds:schemaRef ds:uri="http://schemas.microsoft.com/sharepoint/v3/contenttype/forms"/>
  </ds:schemaRefs>
</ds:datastoreItem>
</file>

<file path=customXml/itemProps3.xml><?xml version="1.0" encoding="utf-8"?>
<ds:datastoreItem xmlns:ds="http://schemas.openxmlformats.org/officeDocument/2006/customXml" ds:itemID="{34BE0F69-5617-44E2-9F76-316AC1DD72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da7c7b-2a86-4dff-bdbf-913f324e8051"/>
    <ds:schemaRef ds:uri="3d8d41c4-2d1a-4f79-aab5-2440921370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6</vt:i4>
      </vt:variant>
    </vt:vector>
  </HeadingPairs>
  <TitlesOfParts>
    <vt:vector size="7" baseType="lpstr">
      <vt:lpstr>Project plan</vt:lpstr>
      <vt:lpstr>Anzeigewoche</vt:lpstr>
      <vt:lpstr>'Project plan'!Drucktitel</vt:lpstr>
      <vt:lpstr>Projektanfang</vt:lpstr>
      <vt:lpstr>'Project plan'!task_end</vt:lpstr>
      <vt:lpstr>'Project plan'!task_progress</vt:lpstr>
      <vt:lpstr>'Project plan'!task_start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2023-02-24T09:08:59Z</dcterms:created>
  <dcterms:modified xsi:type="dcterms:W3CDTF">2025-10-24T20:12:18Z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0x010100E708E235B0E5CE4EBF02E35118BE8A61</vt:lpwstr>
  </property>
  <property fmtid="{D5CDD505-2E9C-101B-9397-08002B2CF9AE}" pid="3" name="MediaServiceImageTags">
    <vt:lpwstr/>
  </property>
</Properties>
</file>